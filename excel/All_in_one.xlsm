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pert\Google Drive\Final Project\src\excel\"/>
    </mc:Choice>
  </mc:AlternateContent>
  <xr:revisionPtr revIDLastSave="0" documentId="12_ncr:500000_{A584C4B2-5CF9-459C-AE78-E1CF8EF3C62A}" xr6:coauthVersionLast="31" xr6:coauthVersionMax="31" xr10:uidLastSave="{00000000-0000-0000-0000-000000000000}"/>
  <bookViews>
    <workbookView xWindow="0" yWindow="0" windowWidth="20490" windowHeight="8820" xr2:uid="{00000000-000D-0000-FFFF-FFFF00000000}"/>
  </bookViews>
  <sheets>
    <sheet name="Sheet1" sheetId="1" r:id="rId1"/>
    <sheet name="append" sheetId="4" r:id="rId2"/>
  </sheets>
  <calcPr calcId="162913"/>
</workbook>
</file>

<file path=xl/calcChain.xml><?xml version="1.0" encoding="utf-8"?>
<calcChain xmlns="http://schemas.openxmlformats.org/spreadsheetml/2006/main">
  <c r="T2" i="4" l="1"/>
  <c r="T3" i="4" l="1"/>
  <c r="T4" i="4" l="1"/>
  <c r="T5" i="4" l="1"/>
  <c r="T6" i="4" l="1"/>
  <c r="T7" i="4" l="1"/>
  <c r="T8" i="4" l="1"/>
  <c r="T9" i="4" l="1"/>
  <c r="T10" i="4" l="1"/>
  <c r="T11" i="4" l="1"/>
  <c r="T12" i="4"/>
  <c r="T13" i="4"/>
  <c r="T14" i="4"/>
  <c r="T15" i="4"/>
  <c r="T2" i="1"/>
  <c r="E22" i="1" s="1"/>
  <c r="T18" i="4"/>
  <c r="O28" i="1"/>
  <c r="O30" i="1" s="1"/>
  <c r="M28" i="1"/>
  <c r="M30" i="1" s="1"/>
  <c r="K28" i="1"/>
  <c r="K30" i="1" s="1"/>
  <c r="I28" i="1"/>
  <c r="I30" i="1" s="1"/>
  <c r="G28" i="1"/>
  <c r="G30" i="1" s="1"/>
  <c r="T19" i="4" l="1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F82" i="4" l="1"/>
  <c r="F84" i="4" s="1"/>
  <c r="H82" i="4"/>
  <c r="H84" i="4" s="1"/>
  <c r="J82" i="4"/>
  <c r="J84" i="4" s="1"/>
  <c r="L82" i="4"/>
  <c r="L84" i="4" s="1"/>
  <c r="N82" i="4"/>
  <c r="N84" i="4" s="1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J76" i="4"/>
  <c r="T56" i="4"/>
  <c r="T57" i="4"/>
</calcChain>
</file>

<file path=xl/sharedStrings.xml><?xml version="1.0" encoding="utf-8"?>
<sst xmlns="http://schemas.openxmlformats.org/spreadsheetml/2006/main" count="40" uniqueCount="30">
  <si>
    <t>v1</t>
  </si>
  <si>
    <t>v2</t>
  </si>
  <si>
    <t>outv</t>
  </si>
  <si>
    <t>l1</t>
  </si>
  <si>
    <t>l2</t>
  </si>
  <si>
    <t>outl</t>
  </si>
  <si>
    <t>o1</t>
  </si>
  <si>
    <t>o2</t>
  </si>
  <si>
    <t>o3</t>
  </si>
  <si>
    <t>outo</t>
  </si>
  <si>
    <t>e1</t>
  </si>
  <si>
    <t>e2</t>
  </si>
  <si>
    <t>e3</t>
  </si>
  <si>
    <t>oute</t>
  </si>
  <si>
    <t>s1</t>
  </si>
  <si>
    <t>s2</t>
  </si>
  <si>
    <t>s3</t>
  </si>
  <si>
    <t>outs</t>
  </si>
  <si>
    <t>outm</t>
  </si>
  <si>
    <t/>
  </si>
  <si>
    <t>Autism Result:</t>
  </si>
  <si>
    <t>Modules</t>
  </si>
  <si>
    <t>Verbal</t>
  </si>
  <si>
    <t>Logical</t>
  </si>
  <si>
    <t>Object Recognition</t>
  </si>
  <si>
    <t>Emotional</t>
  </si>
  <si>
    <t>Social</t>
  </si>
  <si>
    <t>Score</t>
  </si>
  <si>
    <t>Performance of Child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</si>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</sst>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0"/>
      <name val="Arial"/>
    </font>
    <font>
      <b/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0"/>
      <color rgb="FF00000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/>
    <xf numFmtId="0" fontId="0" fillId="0" borderId="0" xfId="0" quotePrefix="1" applyFont="1" applyAlignment="1"/>
    <xf numFmtId="0" fontId="0" fillId="2" borderId="0" xfId="0" applyFont="1" applyFill="1" applyAlignment="1"/>
    <xf numFmtId="0" fontId="0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Score</a:t>
            </a:r>
            <a:r>
              <a:rPr lang="en-IN" baseline="0"/>
              <a:t> Analysis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outv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val>
            <c:numRef>
              <c:f>Sheet1!$C$2</c:f>
              <c:numCache>
                <c:formatCode>General</c:formatCode>
                <c:ptCount val="1"/>
                <c:pt idx="0">
                  <c:v>6.1446030934018809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4-4B3A-A7A4-40783D588FDD}"/>
            </c:ext>
          </c:extLst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outl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val>
            <c:numRef>
              <c:f>Sheet1!$F$2</c:f>
              <c:numCache>
                <c:formatCode>General</c:formatCode>
                <c:ptCount val="1"/>
                <c:pt idx="0">
                  <c:v>6.1446030934018809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C4-4B3A-A7A4-40783D588FDD}"/>
            </c:ext>
          </c:extLst>
        </c:ser>
        <c:ser>
          <c:idx val="2"/>
          <c:order val="2"/>
          <c:tx>
            <c:strRef>
              <c:f>Sheet1!$J$1</c:f>
              <c:strCache>
                <c:ptCount val="1"/>
                <c:pt idx="0">
                  <c:v>outo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val>
            <c:numRef>
              <c:f>Sheet1!$J$2</c:f>
              <c:numCache>
                <c:formatCode>General</c:formatCode>
                <c:ptCount val="1"/>
                <c:pt idx="0">
                  <c:v>8.3666666666666671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C4-4B3A-A7A4-40783D588FDD}"/>
            </c:ext>
          </c:extLst>
        </c:ser>
        <c:ser>
          <c:idx val="3"/>
          <c:order val="3"/>
          <c:tx>
            <c:strRef>
              <c:f>Sheet1!$N$1</c:f>
              <c:strCache>
                <c:ptCount val="1"/>
                <c:pt idx="0">
                  <c:v>oute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val>
            <c:numRef>
              <c:f>Sheet1!$N$2</c:f>
              <c:numCache>
                <c:formatCode>General</c:formatCode>
                <c:ptCount val="1"/>
                <c:pt idx="0">
                  <c:v>4.9999999999999982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C4-4B3A-A7A4-40783D588FDD}"/>
            </c:ext>
          </c:extLst>
        </c:ser>
        <c:ser>
          <c:idx val="4"/>
          <c:order val="4"/>
          <c:tx>
            <c:strRef>
              <c:f>Sheet1!$R$1</c:f>
              <c:strCache>
                <c:ptCount val="1"/>
                <c:pt idx="0">
                  <c:v>outs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val>
            <c:numRef>
              <c:f>Sheet1!$R$2</c:f>
              <c:numCache>
                <c:formatCode>General</c:formatCode>
                <c:ptCount val="1"/>
                <c:pt idx="0">
                  <c:v>5.6204545454545451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C4-4B3A-A7A4-40783D588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367094687"/>
        <c:axId val="1361947135"/>
        <c:axId val="0"/>
      </c:bar3DChart>
      <c:catAx>
        <c:axId val="13670946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947135"/>
        <c:crosses val="autoZero"/>
        <c:auto val="1"/>
        <c:lblAlgn val="ctr"/>
        <c:lblOffset val="100"/>
        <c:noMultiLvlLbl val="0"/>
      </c:catAx>
      <c:valAx>
        <c:axId val="136194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094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Score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(Sheet1!$C$2,Sheet1!$F$2,Sheet1!$J$2,Sheet1!$N$2,Sheet1!$R$2)</c:f>
              <c:numCache>
                <c:formatCode>General</c:formatCode>
                <c:ptCount val="5"/>
                <c:pt idx="0">
                  <c:v>6.1446030934018809</c:v>
                </c:pt>
                <c:pt idx="1">
                  <c:v>6.1446030934018809</c:v>
                </c:pt>
                <c:pt idx="2">
                  <c:v>8.3666666666666671</c:v>
                </c:pt>
                <c:pt idx="3">
                  <c:v>4.9999999999999982</c:v>
                </c:pt>
                <c:pt idx="4">
                  <c:v>5.6204545454545451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9-4704-B3BF-F2B95FF06BC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477181232"/>
        <c:axId val="477615568"/>
      </c:lineChart>
      <c:catAx>
        <c:axId val="47718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15568"/>
        <c:crosses val="autoZero"/>
        <c:auto val="1"/>
        <c:lblAlgn val="ctr"/>
        <c:lblOffset val="100"/>
        <c:noMultiLvlLbl val="0"/>
      </c:catAx>
      <c:valAx>
        <c:axId val="477615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8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Score</a:t>
            </a:r>
            <a:r>
              <a:rPr lang="en-IN" baseline="0"/>
              <a:t> in Activity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Verbal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append!$C$31</c:f>
              <c:numCache>
                <c:formatCode>General</c:formatCode>
                <c:ptCount val="1"/>
                <c:pt idx="0">
                  <c:v>5.2783905459705327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2-412F-99BE-A39CF4899832}"/>
            </c:ext>
          </c:extLst>
        </c:ser>
        <c:ser>
          <c:idx val="1"/>
          <c:order val="1"/>
          <c:tx>
            <c:v>Logic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append!$F$31</c:f>
              <c:numCache>
                <c:formatCode>General</c:formatCode>
                <c:ptCount val="1"/>
                <c:pt idx="0">
                  <c:v>5.0000000000000009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2-412F-99BE-A39CF4899832}"/>
            </c:ext>
          </c:extLst>
        </c:ser>
        <c:ser>
          <c:idx val="2"/>
          <c:order val="2"/>
          <c:tx>
            <c:v>Object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append!$J$31</c:f>
              <c:numCache>
                <c:formatCode>General</c:formatCode>
                <c:ptCount val="1"/>
                <c:pt idx="0">
                  <c:v>8.0815789473684205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2-412F-99BE-A39CF4899832}"/>
            </c:ext>
          </c:extLst>
        </c:ser>
        <c:ser>
          <c:idx val="3"/>
          <c:order val="3"/>
          <c:tx>
            <c:v>Emotion</c:v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append!$N$31</c:f>
              <c:numCache>
                <c:formatCode>General</c:formatCode>
                <c:ptCount val="1"/>
                <c:pt idx="0">
                  <c:v>5.6204545454545451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52-412F-99BE-A39CF4899832}"/>
            </c:ext>
          </c:extLst>
        </c:ser>
        <c:ser>
          <c:idx val="4"/>
          <c:order val="4"/>
          <c:tx>
            <c:v>Social</c:v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append!$R$31</c:f>
              <c:numCache>
                <c:formatCode>General</c:formatCode>
                <c:ptCount val="1"/>
                <c:pt idx="0">
                  <c:v>5.2783905459705327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52-412F-99BE-A39CF48998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548188415"/>
        <c:axId val="544131903"/>
        <c:axId val="0"/>
      </c:bar3DChart>
      <c:catAx>
        <c:axId val="54818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31903"/>
        <c:crosses val="autoZero"/>
        <c:auto val="1"/>
        <c:lblAlgn val="ctr"/>
        <c:lblOffset val="100"/>
        <c:noMultiLvlLbl val="0"/>
      </c:catAx>
      <c:valAx>
        <c:axId val="54413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88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(append!$C$31,append!$F$31,append!$J$31,append!$N$31,append!$R$31)</c:f>
              <c:numCache>
                <c:formatCode>General</c:formatCode>
                <c:ptCount val="5"/>
                <c:pt idx="0">
                  <c:v>5.2783905459705327</c:v>
                </c:pt>
                <c:pt idx="1">
                  <c:v>5.0000000000000009</c:v>
                </c:pt>
                <c:pt idx="2">
                  <c:v>8.0815789473684205</c:v>
                </c:pt>
                <c:pt idx="3">
                  <c:v>5.6204545454545451</c:v>
                </c:pt>
                <c:pt idx="4">
                  <c:v>5.2783905459705327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4-4DD3-9893-2DC32EE6456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dk1">
                    <a:lumMod val="65000"/>
                    <a:lumOff val="3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50000"/>
                  <a:lumOff val="50000"/>
                </a:schemeClr>
              </a:solidFill>
              <a:ln w="9525">
                <a:solidFill>
                  <a:schemeClr val="dk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623650703"/>
        <c:axId val="544115055"/>
      </c:lineChart>
      <c:catAx>
        <c:axId val="623650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15055"/>
        <c:crosses val="autoZero"/>
        <c:auto val="1"/>
        <c:lblAlgn val="ctr"/>
        <c:lblOffset val="100"/>
        <c:noMultiLvlLbl val="0"/>
      </c:catAx>
      <c:valAx>
        <c:axId val="54411505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62365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</xdr:row>
      <xdr:rowOff>4762</xdr:rowOff>
    </xdr:from>
    <xdr:to>
      <xdr:col>10</xdr:col>
      <xdr:colOff>133350</xdr:colOff>
      <xdr:row>18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7FD261-CE8A-40DE-ACFA-2BCFA8F46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409575</xdr:colOff>
      <xdr:row>7</xdr:row>
      <xdr:rowOff>171450</xdr:rowOff>
    </xdr:to>
    <xdr:sp macro="[0]!Test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3727620-DFB4-438C-8528-56C1FDC2B02E}"/>
            </a:ext>
          </a:extLst>
        </xdr:cNvPr>
        <xdr:cNvSpPr/>
      </xdr:nvSpPr>
      <xdr:spPr>
        <a:xfrm>
          <a:off x="13477875" y="1228725"/>
          <a:ext cx="409575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</a:p>
        <a:p>
          <a:pPr algn="l"/>
          <a:endParaRPr lang="en-IN" sz="1100"/>
        </a:p>
      </xdr:txBody>
    </xdr:sp>
    <xdr:clientData/>
  </xdr:twoCellAnchor>
  <xdr:twoCellAnchor>
    <xdr:from>
      <xdr:col>12</xdr:col>
      <xdr:colOff>285750</xdr:colOff>
      <xdr:row>5</xdr:row>
      <xdr:rowOff>4762</xdr:rowOff>
    </xdr:from>
    <xdr:to>
      <xdr:col>19</xdr:col>
      <xdr:colOff>676275</xdr:colOff>
      <xdr:row>18</xdr:row>
      <xdr:rowOff>147637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5CD04F-87D7-4793-ABE7-7B9E9CFCA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55</xdr:row>
      <xdr:rowOff>185737</xdr:rowOff>
    </xdr:from>
    <xdr:to>
      <xdr:col>8</xdr:col>
      <xdr:colOff>581025</xdr:colOff>
      <xdr:row>72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0A7E3A-5E28-4DEC-BB5C-7EAE6C617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314325</xdr:colOff>
      <xdr:row>55</xdr:row>
      <xdr:rowOff>185737</xdr:rowOff>
    </xdr:from>
    <xdr:to>
      <xdr:col>18</xdr:col>
      <xdr:colOff>9525</xdr:colOff>
      <xdr:row>72</xdr:row>
      <xdr:rowOff>138112</xdr:rowOff>
    </xdr:to>
    <xdr:graphicFrame macro="">
      <xdr:nvGraphicFramePr>
        <xdr:cNvPr id="5" name="Chart 4" title="Scores">
          <a:extLst>
            <a:ext uri="{FF2B5EF4-FFF2-40B4-BE49-F238E27FC236}">
              <a16:creationId xmlns:a16="http://schemas.microsoft.com/office/drawing/2014/main" id="{17075ABE-FDFF-453A-AD1D-AA4A4CC4A3B6}"/>
            </a:ext>
            <a:ext uri="{147F2762-F138-4A5C-976F-8EAC2B608ADB}">
              <a16:predDERef xmlns:a16="http://schemas.microsoft.com/office/drawing/2014/main" pred="{DB0A7E3A-5E28-4DEC-BB5C-7EAE6C617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1:T3" totalsRowShown="0">
  <autoFilter ref="A1:T3" xr:uid="{00000000-0009-0000-0100-000004000000}"/>
  <tableColumns count="20">
    <tableColumn id="1" xr3:uid="{00000000-0010-0000-0000-000001000000}" name="v1"/>
    <tableColumn id="2" xr3:uid="{00000000-0010-0000-0000-000002000000}" name="v2"/>
    <tableColumn id="3" xr3:uid="{00000000-0010-0000-0000-000003000000}" name="outv"/>
    <tableColumn id="4" xr3:uid="{00000000-0010-0000-0000-000004000000}" name="l1"/>
    <tableColumn id="5" xr3:uid="{00000000-0010-0000-0000-000005000000}" name="l2"/>
    <tableColumn id="6" xr3:uid="{00000000-0010-0000-0000-000006000000}" name="outl"/>
    <tableColumn id="7" xr3:uid="{00000000-0010-0000-0000-000007000000}" name="o1"/>
    <tableColumn id="8" xr3:uid="{00000000-0010-0000-0000-000008000000}" name="o2"/>
    <tableColumn id="9" xr3:uid="{00000000-0010-0000-0000-000009000000}" name="o3"/>
    <tableColumn id="10" xr3:uid="{00000000-0010-0000-0000-00000A000000}" name="outo"/>
    <tableColumn id="11" xr3:uid="{00000000-0010-0000-0000-00000B000000}" name="e1"/>
    <tableColumn id="12" xr3:uid="{00000000-0010-0000-0000-00000C000000}" name="e2"/>
    <tableColumn id="13" xr3:uid="{00000000-0010-0000-0000-00000D000000}" name="e3"/>
    <tableColumn id="14" xr3:uid="{00000000-0010-0000-0000-00000E000000}" name="oute"/>
    <tableColumn id="15" xr3:uid="{00000000-0010-0000-0000-00000F000000}" name="s1"/>
    <tableColumn id="16" xr3:uid="{00000000-0010-0000-0000-000010000000}" name="s2"/>
    <tableColumn id="17" xr3:uid="{00000000-0010-0000-0000-000011000000}" name="s3"/>
    <tableColumn id="18" xr3:uid="{00000000-0010-0000-0000-000012000000}" name="outs"/>
    <tableColumn id="19" xr3:uid="{00000000-0010-0000-0000-000013000000}" name="outm"/>
    <tableColumn id="20" xr3:uid="{80866826-3337-4E63-9BCA-9A4FD829B539}" name="Column1" dataDxfId="0">
      <calculatedColumnFormula>IF(S2&lt;4.5,"Yes",IF(S2&gt;=6,"No","Further Inestigation"))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231BD-39C9-4AFE-9084-E0CD95088097}">
  <we:reference id="wa104380142" version="1.0.0.0" store="en-US" storeType="OMEX"/>
  <we:alternateReferences>
    <we:reference id="WA104380142" version="1.0.0.0" store="WA1043801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31"/>
  <sheetViews>
    <sheetView tabSelected="1" workbookViewId="0">
      <pane ySplit="1" topLeftCell="A16" activePane="bottomLeft" state="frozen"/>
      <selection pane="bottomLeft" activeCell="A4" sqref="A4"/>
    </sheetView>
  </sheetViews>
  <sheetFormatPr defaultColWidth="14.42578125" defaultRowHeight="15.75" customHeight="1" x14ac:dyDescent="0.2"/>
  <cols>
    <col min="1" max="1" width="12" bestFit="1" customWidth="1"/>
    <col min="2" max="2" width="5.28515625" bestFit="1" customWidth="1"/>
    <col min="3" max="4" width="12" bestFit="1" customWidth="1"/>
    <col min="5" max="5" width="4.85546875" bestFit="1" customWidth="1"/>
    <col min="6" max="6" width="12" bestFit="1" customWidth="1"/>
    <col min="7" max="9" width="5.42578125" bestFit="1" customWidth="1"/>
    <col min="10" max="10" width="12" bestFit="1" customWidth="1"/>
    <col min="11" max="13" width="5.42578125" bestFit="1" customWidth="1"/>
    <col min="14" max="14" width="7.28515625" bestFit="1" customWidth="1"/>
    <col min="15" max="15" width="12" bestFit="1" customWidth="1"/>
    <col min="16" max="16" width="5.140625" bestFit="1" customWidth="1"/>
    <col min="17" max="19" width="12" bestFit="1" customWidth="1"/>
    <col min="20" max="43" width="21.5703125" customWidth="1"/>
  </cols>
  <sheetData>
    <row r="1" spans="1:37" ht="15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29</v>
      </c>
      <c r="AJ1" s="1" t="s">
        <v>19</v>
      </c>
      <c r="AK1" s="1" t="s">
        <v>19</v>
      </c>
    </row>
    <row r="2" spans="1:37" ht="15.75" customHeight="1" x14ac:dyDescent="0.2">
      <c r="A2">
        <v>8.3333333330000006</v>
      </c>
      <c r="B2">
        <v>5</v>
      </c>
      <c r="C2">
        <v>6.1446030934018809</v>
      </c>
      <c r="D2">
        <v>8.3333333330000006</v>
      </c>
      <c r="E2">
        <v>5</v>
      </c>
      <c r="F2">
        <v>6.1446030934018809</v>
      </c>
      <c r="G2">
        <v>10</v>
      </c>
      <c r="H2">
        <v>10</v>
      </c>
      <c r="I2">
        <v>10</v>
      </c>
      <c r="J2">
        <v>8.3666666666666671</v>
      </c>
      <c r="K2">
        <v>5</v>
      </c>
      <c r="L2">
        <v>2.5</v>
      </c>
      <c r="M2">
        <v>5</v>
      </c>
      <c r="N2">
        <v>4.9999999999999982</v>
      </c>
      <c r="O2">
        <v>6.6666666670000003</v>
      </c>
      <c r="P2">
        <v>7.5</v>
      </c>
      <c r="Q2">
        <v>3.3333333330000001</v>
      </c>
      <c r="R2">
        <v>5.6204545454545451</v>
      </c>
      <c r="S2">
        <v>8.1199564746171262</v>
      </c>
      <c r="T2" t="str">
        <f t="shared" ref="T2" si="0">IF(S2&lt;4.5,"Yes",IF(S2&gt;=6,"No","Further Inestigation"))</f>
        <v>No</v>
      </c>
    </row>
    <row r="4" spans="1:37" ht="18" customHeight="1" x14ac:dyDescent="0.2"/>
    <row r="21" spans="4:16" ht="15.75" customHeight="1" x14ac:dyDescent="0.2">
      <c r="K21" s="10" t="s">
        <v>20</v>
      </c>
      <c r="L21" s="10"/>
      <c r="M21" s="10"/>
    </row>
    <row r="22" spans="4:16" ht="15.75" customHeight="1" x14ac:dyDescent="0.2">
      <c r="E22" s="15" t="str">
        <f>T2</f>
        <v>No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4:16" ht="15.75" customHeight="1" x14ac:dyDescent="0.2"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4:16" ht="15.75" customHeight="1" x14ac:dyDescent="0.2">
      <c r="D24" s="2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6" spans="4:16" ht="15.75" customHeight="1" x14ac:dyDescent="0.2">
      <c r="D26" s="5" t="s">
        <v>21</v>
      </c>
      <c r="E26" s="5"/>
      <c r="F26" s="5"/>
      <c r="G26" s="5" t="s">
        <v>22</v>
      </c>
      <c r="H26" s="5"/>
      <c r="I26" s="5" t="s">
        <v>23</v>
      </c>
      <c r="J26" s="5"/>
      <c r="K26" s="5" t="s">
        <v>24</v>
      </c>
      <c r="L26" s="5"/>
      <c r="M26" s="11" t="s">
        <v>25</v>
      </c>
      <c r="N26" s="12"/>
      <c r="O26" s="5" t="s">
        <v>26</v>
      </c>
      <c r="P26" s="5"/>
    </row>
    <row r="27" spans="4:16" ht="15.75" customHeight="1" x14ac:dyDescent="0.2">
      <c r="D27" s="5"/>
      <c r="E27" s="5"/>
      <c r="F27" s="5"/>
      <c r="G27" s="5"/>
      <c r="H27" s="5"/>
      <c r="I27" s="5"/>
      <c r="J27" s="5"/>
      <c r="K27" s="5"/>
      <c r="L27" s="5"/>
      <c r="M27" s="13"/>
      <c r="N27" s="14"/>
      <c r="O27" s="5"/>
      <c r="P27" s="5"/>
    </row>
    <row r="28" spans="4:16" ht="15.75" customHeight="1" x14ac:dyDescent="0.2">
      <c r="D28" s="5" t="s">
        <v>27</v>
      </c>
      <c r="E28" s="5"/>
      <c r="F28" s="5"/>
      <c r="G28" s="4">
        <f>C2</f>
        <v>6.1446030934018809</v>
      </c>
      <c r="H28" s="4"/>
      <c r="I28" s="4">
        <f>F2</f>
        <v>6.1446030934018809</v>
      </c>
      <c r="J28" s="4"/>
      <c r="K28" s="4">
        <f>J2</f>
        <v>8.3666666666666671</v>
      </c>
      <c r="L28" s="4"/>
      <c r="M28" s="6">
        <f>N2</f>
        <v>4.9999999999999982</v>
      </c>
      <c r="N28" s="7"/>
      <c r="O28" s="4">
        <f>R2</f>
        <v>5.6204545454545451</v>
      </c>
      <c r="P28" s="4"/>
    </row>
    <row r="29" spans="4:16" ht="15.75" customHeight="1" x14ac:dyDescent="0.2">
      <c r="D29" s="5"/>
      <c r="E29" s="5"/>
      <c r="F29" s="5"/>
      <c r="G29" s="4"/>
      <c r="H29" s="4"/>
      <c r="I29" s="4"/>
      <c r="J29" s="4"/>
      <c r="K29" s="4"/>
      <c r="L29" s="4"/>
      <c r="M29" s="8"/>
      <c r="N29" s="9"/>
      <c r="O29" s="4"/>
      <c r="P29" s="4"/>
    </row>
    <row r="30" spans="4:16" ht="15.75" customHeight="1" x14ac:dyDescent="0.2">
      <c r="D30" s="5" t="s">
        <v>28</v>
      </c>
      <c r="E30" s="5"/>
      <c r="F30" s="5"/>
      <c r="G30" s="4" t="str">
        <f>IF(G28&lt;4.5,"Autistic in this module",IF(G28&gt;=7.5,"Excellent","Moderate"))</f>
        <v>Moderate</v>
      </c>
      <c r="H30" s="4"/>
      <c r="I30" s="4" t="str">
        <f>IF(I28&lt;4.5,"Autistic in this module",IF(I28&gt;=7.5,"Excellent","Moderate"))</f>
        <v>Moderate</v>
      </c>
      <c r="J30" s="4"/>
      <c r="K30" s="4" t="str">
        <f>IF(K28&lt;4.5,"Autistic in this module",IF(K28&gt;=7.5,"Excellent","Moderate"))</f>
        <v>Excellent</v>
      </c>
      <c r="L30" s="4"/>
      <c r="M30" s="6" t="str">
        <f>IF(M28&lt;4.5,"Autistic in this module",IF(M28&gt;=7.5,"Excellent","Moderate"))</f>
        <v>Moderate</v>
      </c>
      <c r="N30" s="7"/>
      <c r="O30" s="4" t="str">
        <f>IF(O28&lt;4.5,"Autistic in this module",IF(O28&gt;=7.5,"Excellent","Moderate"))</f>
        <v>Moderate</v>
      </c>
      <c r="P30" s="4"/>
    </row>
    <row r="31" spans="4:16" ht="15.75" customHeight="1" x14ac:dyDescent="0.2">
      <c r="D31" s="5"/>
      <c r="E31" s="5"/>
      <c r="F31" s="5"/>
      <c r="G31" s="4"/>
      <c r="H31" s="4"/>
      <c r="I31" s="4"/>
      <c r="J31" s="4"/>
      <c r="K31" s="4"/>
      <c r="L31" s="4"/>
      <c r="M31" s="8"/>
      <c r="N31" s="9"/>
      <c r="O31" s="4"/>
      <c r="P31" s="4"/>
    </row>
  </sheetData>
  <mergeCells count="20">
    <mergeCell ref="K21:M21"/>
    <mergeCell ref="D26:F27"/>
    <mergeCell ref="G26:H27"/>
    <mergeCell ref="I26:J27"/>
    <mergeCell ref="K26:L27"/>
    <mergeCell ref="M26:N27"/>
    <mergeCell ref="E22:P24"/>
    <mergeCell ref="O30:P31"/>
    <mergeCell ref="O26:P27"/>
    <mergeCell ref="D28:F29"/>
    <mergeCell ref="G28:H29"/>
    <mergeCell ref="I28:J29"/>
    <mergeCell ref="K28:L29"/>
    <mergeCell ref="M28:N29"/>
    <mergeCell ref="O28:P29"/>
    <mergeCell ref="D30:F31"/>
    <mergeCell ref="G30:H31"/>
    <mergeCell ref="I30:J31"/>
    <mergeCell ref="K30:L31"/>
    <mergeCell ref="M30:N31"/>
  </mergeCells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T85"/>
  <sheetViews>
    <sheetView workbookViewId="0">
      <selection activeCell="A3" sqref="A3"/>
    </sheetView>
  </sheetViews>
  <sheetFormatPr defaultRowHeight="12.75" x14ac:dyDescent="0.2"/>
  <sheetData>
    <row r="2" spans="1:20" ht="15.75" customHeight="1" x14ac:dyDescent="0.2">
      <c r="A2">
        <v>8.3333333330000006</v>
      </c>
      <c r="B2">
        <v>5</v>
      </c>
      <c r="C2">
        <v>6.1446030934018809</v>
      </c>
      <c r="D2">
        <v>8.3333333330000006</v>
      </c>
      <c r="E2">
        <v>5</v>
      </c>
      <c r="F2">
        <v>6.1446030934018809</v>
      </c>
      <c r="G2">
        <v>10</v>
      </c>
      <c r="H2">
        <v>10</v>
      </c>
      <c r="I2">
        <v>10</v>
      </c>
      <c r="J2">
        <v>8.3666666666666671</v>
      </c>
      <c r="K2">
        <v>5</v>
      </c>
      <c r="L2">
        <v>2.5</v>
      </c>
      <c r="M2">
        <v>5</v>
      </c>
      <c r="N2">
        <v>4.9999999999999982</v>
      </c>
      <c r="O2">
        <v>6.6666666670000003</v>
      </c>
      <c r="P2">
        <v>7.5</v>
      </c>
      <c r="Q2">
        <v>3.3333333330000001</v>
      </c>
      <c r="R2">
        <v>5.6204545454545451</v>
      </c>
      <c r="S2">
        <v>8.1199564746171262</v>
      </c>
      <c r="T2" t="str">
        <f t="shared" ref="T2" si="0">IF(S2&lt;4.5,"Yes",IF(S2&gt;=6,"No","Further Inestigation"))</f>
        <v>No</v>
      </c>
    </row>
    <row r="3" spans="1:20" ht="15.75" customHeight="1" x14ac:dyDescent="0.2">
      <c r="A3">
        <v>8.3333333330000006</v>
      </c>
      <c r="B3">
        <v>5</v>
      </c>
      <c r="C3">
        <v>6.1446030934018809</v>
      </c>
      <c r="D3">
        <v>8.3333333330000006</v>
      </c>
      <c r="E3">
        <v>5</v>
      </c>
      <c r="F3">
        <v>6.1446030934018809</v>
      </c>
      <c r="G3">
        <v>10</v>
      </c>
      <c r="H3">
        <v>10</v>
      </c>
      <c r="I3">
        <v>10</v>
      </c>
      <c r="J3">
        <v>8.3666666666666671</v>
      </c>
      <c r="K3">
        <v>5</v>
      </c>
      <c r="L3">
        <v>2.5</v>
      </c>
      <c r="M3">
        <v>5</v>
      </c>
      <c r="N3">
        <v>4.9999999999999982</v>
      </c>
      <c r="O3">
        <v>6.6666666670000003</v>
      </c>
      <c r="P3">
        <v>7.5</v>
      </c>
      <c r="Q3">
        <v>3.3333333330000001</v>
      </c>
      <c r="R3">
        <v>5.6204545454545451</v>
      </c>
      <c r="S3">
        <v>8.1199564746171262</v>
      </c>
      <c r="T3" t="str">
        <f t="shared" ref="T3" si="1">IF(S3&lt;4.5,"Yes",IF(S3&gt;=6,"No","Further Inestigation"))</f>
        <v>No</v>
      </c>
    </row>
    <row r="4" spans="1:20" ht="15.75" customHeight="1" x14ac:dyDescent="0.2">
      <c r="A4">
        <v>8.3333333330000006</v>
      </c>
      <c r="B4">
        <v>5</v>
      </c>
      <c r="C4">
        <v>6.1446030934018809</v>
      </c>
      <c r="D4">
        <v>8.3333333330000006</v>
      </c>
      <c r="E4">
        <v>5</v>
      </c>
      <c r="F4">
        <v>6.1446030934018809</v>
      </c>
      <c r="G4">
        <v>10</v>
      </c>
      <c r="H4">
        <v>10</v>
      </c>
      <c r="I4">
        <v>10</v>
      </c>
      <c r="J4">
        <v>8.3666666666666671</v>
      </c>
      <c r="K4">
        <v>5</v>
      </c>
      <c r="L4">
        <v>2.5</v>
      </c>
      <c r="M4">
        <v>5</v>
      </c>
      <c r="N4">
        <v>4.9999999999999982</v>
      </c>
      <c r="O4">
        <v>6.6666666670000003</v>
      </c>
      <c r="P4">
        <v>7.5</v>
      </c>
      <c r="Q4">
        <v>3.3333333330000001</v>
      </c>
      <c r="R4">
        <v>5.6204545454545451</v>
      </c>
      <c r="S4">
        <v>8.1199564746171262</v>
      </c>
      <c r="T4" t="str">
        <f t="shared" ref="T4" si="2">IF(S4&lt;4.5,"Yes",IF(S4&gt;=6,"No","Further Inestigation"))</f>
        <v>No</v>
      </c>
    </row>
    <row r="5" spans="1:20" ht="15.75" customHeight="1" x14ac:dyDescent="0.2">
      <c r="A5">
        <v>8.3333333330000006</v>
      </c>
      <c r="B5">
        <v>5</v>
      </c>
      <c r="C5">
        <v>6.1446030934018809</v>
      </c>
      <c r="D5">
        <v>8.3333333330000006</v>
      </c>
      <c r="E5">
        <v>5</v>
      </c>
      <c r="F5">
        <v>6.1446030934018809</v>
      </c>
      <c r="G5">
        <v>10</v>
      </c>
      <c r="H5">
        <v>10</v>
      </c>
      <c r="I5">
        <v>10</v>
      </c>
      <c r="J5">
        <v>8.3666666666666671</v>
      </c>
      <c r="K5">
        <v>5</v>
      </c>
      <c r="L5">
        <v>2.5</v>
      </c>
      <c r="M5">
        <v>5</v>
      </c>
      <c r="N5">
        <v>4.9999999999999982</v>
      </c>
      <c r="O5">
        <v>6.6666666670000003</v>
      </c>
      <c r="P5">
        <v>7.5</v>
      </c>
      <c r="Q5">
        <v>3.3333333330000001</v>
      </c>
      <c r="R5">
        <v>5.6204545454545451</v>
      </c>
      <c r="S5">
        <v>8.1199564746171262</v>
      </c>
      <c r="T5" t="str">
        <f t="shared" ref="T5" si="3">IF(S5&lt;4.5,"Yes",IF(S5&gt;=6,"No","Further Inestigation"))</f>
        <v>No</v>
      </c>
    </row>
    <row r="6" spans="1:20" ht="15.75" customHeight="1" x14ac:dyDescent="0.2">
      <c r="A6">
        <v>8.3333333330000006</v>
      </c>
      <c r="B6">
        <v>5</v>
      </c>
      <c r="C6">
        <v>6.1446030934018809</v>
      </c>
      <c r="D6">
        <v>8.3333333330000006</v>
      </c>
      <c r="E6">
        <v>5</v>
      </c>
      <c r="F6">
        <v>6.1446030934018809</v>
      </c>
      <c r="G6">
        <v>10</v>
      </c>
      <c r="H6">
        <v>10</v>
      </c>
      <c r="I6">
        <v>10</v>
      </c>
      <c r="J6">
        <v>8.3666666666666671</v>
      </c>
      <c r="K6">
        <v>5</v>
      </c>
      <c r="L6">
        <v>2.5</v>
      </c>
      <c r="M6">
        <v>5</v>
      </c>
      <c r="N6">
        <v>4.9999999999999982</v>
      </c>
      <c r="O6">
        <v>6.6666666670000003</v>
      </c>
      <c r="P6">
        <v>7.5</v>
      </c>
      <c r="Q6">
        <v>3.3333333330000001</v>
      </c>
      <c r="R6">
        <v>5.6204545454545451</v>
      </c>
      <c r="S6">
        <v>8.1199564746171262</v>
      </c>
      <c r="T6" t="str">
        <f t="shared" ref="T6" si="4">IF(S6&lt;4.5,"Yes",IF(S6&gt;=6,"No","Further Inestigation"))</f>
        <v>No</v>
      </c>
    </row>
    <row r="7" spans="1:20" ht="15.75" customHeight="1" x14ac:dyDescent="0.2">
      <c r="A7">
        <v>8.3333333330000006</v>
      </c>
      <c r="B7">
        <v>5</v>
      </c>
      <c r="C7">
        <v>6.1446030934018809</v>
      </c>
      <c r="D7">
        <v>8.3333333330000006</v>
      </c>
      <c r="E7">
        <v>5</v>
      </c>
      <c r="F7">
        <v>6.1446030934018809</v>
      </c>
      <c r="G7">
        <v>10</v>
      </c>
      <c r="H7">
        <v>10</v>
      </c>
      <c r="I7">
        <v>10</v>
      </c>
      <c r="J7">
        <v>8.3666666666666671</v>
      </c>
      <c r="K7">
        <v>5</v>
      </c>
      <c r="L7">
        <v>2.5</v>
      </c>
      <c r="M7">
        <v>5</v>
      </c>
      <c r="N7">
        <v>4.9999999999999982</v>
      </c>
      <c r="O7">
        <v>6.6666666670000003</v>
      </c>
      <c r="P7">
        <v>7.5</v>
      </c>
      <c r="Q7">
        <v>3.3333333330000001</v>
      </c>
      <c r="R7">
        <v>5.6204545454545451</v>
      </c>
      <c r="S7">
        <v>8.1199564746171262</v>
      </c>
      <c r="T7" t="str">
        <f t="shared" ref="T7" si="5">IF(S7&lt;4.5,"Yes",IF(S7&gt;=6,"No","Further Inestigation"))</f>
        <v>No</v>
      </c>
    </row>
    <row r="8" spans="1:20" ht="15.75" customHeight="1" x14ac:dyDescent="0.2">
      <c r="A8">
        <v>8.3333333330000006</v>
      </c>
      <c r="B8">
        <v>5</v>
      </c>
      <c r="C8">
        <v>6.1446030934018809</v>
      </c>
      <c r="D8">
        <v>8.3333333330000006</v>
      </c>
      <c r="E8">
        <v>5</v>
      </c>
      <c r="F8">
        <v>6.1446030934018809</v>
      </c>
      <c r="G8">
        <v>10</v>
      </c>
      <c r="H8">
        <v>10</v>
      </c>
      <c r="I8">
        <v>10</v>
      </c>
      <c r="J8">
        <v>8.3666666666666671</v>
      </c>
      <c r="K8">
        <v>5</v>
      </c>
      <c r="L8">
        <v>2.5</v>
      </c>
      <c r="M8">
        <v>5</v>
      </c>
      <c r="N8">
        <v>4.9999999999999982</v>
      </c>
      <c r="O8">
        <v>6.6666666670000003</v>
      </c>
      <c r="P8">
        <v>7.5</v>
      </c>
      <c r="Q8">
        <v>3.3333333330000001</v>
      </c>
      <c r="R8">
        <v>5.6204545454545451</v>
      </c>
      <c r="S8">
        <v>8.1199564746171262</v>
      </c>
      <c r="T8" t="str">
        <f t="shared" ref="T8" si="6">IF(S8&lt;4.5,"Yes",IF(S8&gt;=6,"No","Further Inestigation"))</f>
        <v>No</v>
      </c>
    </row>
    <row r="9" spans="1:20" ht="15.75" customHeight="1" x14ac:dyDescent="0.2">
      <c r="A9">
        <v>8.3333333330000006</v>
      </c>
      <c r="B9">
        <v>5</v>
      </c>
      <c r="C9">
        <v>6.1446030934018809</v>
      </c>
      <c r="D9">
        <v>8.3333333330000006</v>
      </c>
      <c r="E9">
        <v>5</v>
      </c>
      <c r="F9">
        <v>6.1446030934018809</v>
      </c>
      <c r="G9">
        <v>10</v>
      </c>
      <c r="H9">
        <v>10</v>
      </c>
      <c r="I9">
        <v>10</v>
      </c>
      <c r="J9">
        <v>8.3666666666666671</v>
      </c>
      <c r="K9">
        <v>5</v>
      </c>
      <c r="L9">
        <v>2.5</v>
      </c>
      <c r="M9">
        <v>5</v>
      </c>
      <c r="N9">
        <v>4.9999999999999982</v>
      </c>
      <c r="O9">
        <v>6.6666666670000003</v>
      </c>
      <c r="P9">
        <v>7.5</v>
      </c>
      <c r="Q9">
        <v>3.3333333330000001</v>
      </c>
      <c r="R9">
        <v>5.6204545454545451</v>
      </c>
      <c r="S9">
        <v>8.1199564746171262</v>
      </c>
      <c r="T9" t="str">
        <f t="shared" ref="T9" si="7">IF(S9&lt;4.5,"Yes",IF(S9&gt;=6,"No","Further Inestigation"))</f>
        <v>No</v>
      </c>
    </row>
    <row r="10" spans="1:20" ht="15.75" customHeight="1" x14ac:dyDescent="0.2">
      <c r="A10">
        <v>1.6666666670000001</v>
      </c>
      <c r="B10">
        <v>5</v>
      </c>
      <c r="C10">
        <v>3.8553969065981217</v>
      </c>
      <c r="D10">
        <v>3.3333333330000001</v>
      </c>
      <c r="E10">
        <v>0</v>
      </c>
      <c r="F10">
        <v>1.7783919598481606</v>
      </c>
      <c r="G10">
        <v>10</v>
      </c>
      <c r="H10">
        <v>7.5</v>
      </c>
      <c r="I10">
        <v>10</v>
      </c>
      <c r="J10">
        <v>8.0815789473684205</v>
      </c>
      <c r="K10">
        <v>2.5</v>
      </c>
      <c r="L10">
        <v>2.5</v>
      </c>
      <c r="M10">
        <v>10</v>
      </c>
      <c r="N10">
        <v>4.379545454545454</v>
      </c>
      <c r="O10">
        <v>0</v>
      </c>
      <c r="P10">
        <v>6.25</v>
      </c>
      <c r="Q10">
        <v>3.3333333330000001</v>
      </c>
      <c r="R10">
        <v>4.7216094540294646</v>
      </c>
      <c r="S10">
        <v>5.5331610402862683</v>
      </c>
      <c r="T10" t="str">
        <f t="shared" ref="T10" si="8">IF(S10&lt;4.5,"Yes",IF(S10&gt;=6,"No","Further Inestigation"))</f>
        <v>Further Inestigation</v>
      </c>
    </row>
    <row r="11" spans="1:20" ht="15.75" customHeight="1" x14ac:dyDescent="0.2">
      <c r="A11">
        <v>1.6666666670000001</v>
      </c>
      <c r="B11">
        <v>5</v>
      </c>
      <c r="C11">
        <v>3.8553969065981217</v>
      </c>
      <c r="D11">
        <v>3.3333333330000001</v>
      </c>
      <c r="E11">
        <v>0</v>
      </c>
      <c r="F11">
        <v>1.7783919598481606</v>
      </c>
      <c r="G11">
        <v>10</v>
      </c>
      <c r="H11">
        <v>7.5</v>
      </c>
      <c r="I11">
        <v>10</v>
      </c>
      <c r="J11">
        <v>8.0815789473684205</v>
      </c>
      <c r="K11">
        <v>2.5</v>
      </c>
      <c r="L11">
        <v>2.5</v>
      </c>
      <c r="M11">
        <v>10</v>
      </c>
      <c r="N11">
        <v>4.379545454545454</v>
      </c>
      <c r="O11">
        <v>0</v>
      </c>
      <c r="P11">
        <v>6.25</v>
      </c>
      <c r="Q11">
        <v>3.3333333330000001</v>
      </c>
      <c r="R11">
        <v>4.7216094540294646</v>
      </c>
      <c r="S11">
        <v>5.5331610402862683</v>
      </c>
      <c r="T11" t="str">
        <f t="shared" ref="T11" si="9">IF(S11&lt;4.5,"Yes",IF(S11&gt;=6,"No","Further Inestigation"))</f>
        <v>Further Inestigation</v>
      </c>
    </row>
    <row r="12" spans="1:20" ht="15.75" customHeight="1" x14ac:dyDescent="0.2">
      <c r="A12">
        <v>1.6666666670000001</v>
      </c>
      <c r="B12">
        <v>5</v>
      </c>
      <c r="C12">
        <v>3.8553969065981217</v>
      </c>
      <c r="D12">
        <v>3.3333333330000001</v>
      </c>
      <c r="E12">
        <v>0</v>
      </c>
      <c r="F12">
        <v>1.7783919598481606</v>
      </c>
      <c r="G12">
        <v>10</v>
      </c>
      <c r="H12">
        <v>7.5</v>
      </c>
      <c r="I12">
        <v>10</v>
      </c>
      <c r="J12">
        <v>8.0815789473684205</v>
      </c>
      <c r="K12">
        <v>2.5</v>
      </c>
      <c r="L12">
        <v>2.5</v>
      </c>
      <c r="M12">
        <v>10</v>
      </c>
      <c r="N12">
        <v>4.379545454545454</v>
      </c>
      <c r="O12">
        <v>0</v>
      </c>
      <c r="P12">
        <v>6.25</v>
      </c>
      <c r="Q12">
        <v>3.3333333330000001</v>
      </c>
      <c r="R12">
        <v>4.7216094540294646</v>
      </c>
      <c r="S12">
        <v>5.5331610402862683</v>
      </c>
      <c r="T12" t="str">
        <f t="shared" ref="T12" si="10">IF(S12&lt;4.5,"Yes",IF(S12&gt;=6,"No","Further Inestigation"))</f>
        <v>Further Inestigation</v>
      </c>
    </row>
    <row r="13" spans="1:20" ht="15.75" customHeight="1" x14ac:dyDescent="0.2">
      <c r="A13">
        <v>1.6666666670000001</v>
      </c>
      <c r="B13">
        <v>5</v>
      </c>
      <c r="C13">
        <v>3.8553969065981217</v>
      </c>
      <c r="D13">
        <v>3.3333333330000001</v>
      </c>
      <c r="E13">
        <v>0</v>
      </c>
      <c r="F13">
        <v>1.7783919598481606</v>
      </c>
      <c r="G13">
        <v>10</v>
      </c>
      <c r="H13">
        <v>7.5</v>
      </c>
      <c r="I13">
        <v>10</v>
      </c>
      <c r="J13">
        <v>8.0815789473684205</v>
      </c>
      <c r="K13">
        <v>2.5</v>
      </c>
      <c r="L13">
        <v>2.5</v>
      </c>
      <c r="M13">
        <v>10</v>
      </c>
      <c r="N13">
        <v>4.379545454545454</v>
      </c>
      <c r="O13">
        <v>0</v>
      </c>
      <c r="P13">
        <v>6.25</v>
      </c>
      <c r="Q13">
        <v>3.3333333330000001</v>
      </c>
      <c r="R13">
        <v>4.7216094540294646</v>
      </c>
      <c r="S13">
        <v>5.5331610402862683</v>
      </c>
      <c r="T13" t="str">
        <f t="shared" ref="T13" si="11">IF(S13&lt;4.5,"Yes",IF(S13&gt;=6,"No","Further Inestigation"))</f>
        <v>Further Inestigation</v>
      </c>
    </row>
    <row r="14" spans="1:20" ht="15.75" customHeight="1" x14ac:dyDescent="0.2">
      <c r="A14">
        <v>1.6666666670000001</v>
      </c>
      <c r="B14">
        <v>5</v>
      </c>
      <c r="C14">
        <v>3.8553969065981217</v>
      </c>
      <c r="D14">
        <v>3.3333333330000001</v>
      </c>
      <c r="E14">
        <v>0</v>
      </c>
      <c r="F14">
        <v>1.7783919598481606</v>
      </c>
      <c r="G14">
        <v>10</v>
      </c>
      <c r="H14">
        <v>7.5</v>
      </c>
      <c r="I14">
        <v>10</v>
      </c>
      <c r="J14">
        <v>8.0815789473684205</v>
      </c>
      <c r="K14">
        <v>2.5</v>
      </c>
      <c r="L14">
        <v>2.5</v>
      </c>
      <c r="M14">
        <v>10</v>
      </c>
      <c r="N14">
        <v>4.379545454545454</v>
      </c>
      <c r="O14">
        <v>0</v>
      </c>
      <c r="P14">
        <v>6.25</v>
      </c>
      <c r="Q14">
        <v>3.3333333330000001</v>
      </c>
      <c r="R14">
        <v>4.7216094540294646</v>
      </c>
      <c r="S14">
        <v>5.5331610402862683</v>
      </c>
      <c r="T14" t="str">
        <f t="shared" ref="T14" si="12">IF(S14&lt;4.5,"Yes",IF(S14&gt;=6,"No","Further Inestigation"))</f>
        <v>Further Inestigation</v>
      </c>
    </row>
    <row r="15" spans="1:20" ht="15.75" customHeight="1" x14ac:dyDescent="0.2">
      <c r="A15">
        <v>1.6666666670000001</v>
      </c>
      <c r="B15">
        <v>5</v>
      </c>
      <c r="C15">
        <v>3.8553969065981217</v>
      </c>
      <c r="D15">
        <v>3.3333333330000001</v>
      </c>
      <c r="E15">
        <v>0</v>
      </c>
      <c r="F15">
        <v>1.7783919598481606</v>
      </c>
      <c r="G15">
        <v>10</v>
      </c>
      <c r="H15">
        <v>7.5</v>
      </c>
      <c r="I15">
        <v>10</v>
      </c>
      <c r="J15">
        <v>8.0815789473684205</v>
      </c>
      <c r="K15">
        <v>2.5</v>
      </c>
      <c r="L15">
        <v>2.5</v>
      </c>
      <c r="M15">
        <v>10</v>
      </c>
      <c r="N15">
        <v>4.379545454545454</v>
      </c>
      <c r="O15">
        <v>0</v>
      </c>
      <c r="P15">
        <v>6.25</v>
      </c>
      <c r="Q15">
        <v>3.3333333330000001</v>
      </c>
      <c r="R15">
        <v>4.7216094540294646</v>
      </c>
      <c r="S15">
        <v>5.5331610402862683</v>
      </c>
      <c r="T15" t="str">
        <f t="shared" ref="T15" si="13">IF(S15&lt;4.5,"Yes",IF(S15&gt;=6,"No","Further Inestigation"))</f>
        <v>Further Inestigation</v>
      </c>
    </row>
    <row r="16" spans="1:20" ht="15.75" customHeight="1" x14ac:dyDescent="0.2">
      <c r="A16">
        <v>1.6666666670000001</v>
      </c>
      <c r="B16">
        <v>5</v>
      </c>
      <c r="C16">
        <v>3.8553969065981217</v>
      </c>
      <c r="D16">
        <v>3.3333333330000001</v>
      </c>
      <c r="E16">
        <v>0</v>
      </c>
      <c r="F16">
        <v>1.7783919598481606</v>
      </c>
      <c r="G16">
        <v>10</v>
      </c>
      <c r="H16">
        <v>7.5</v>
      </c>
      <c r="I16">
        <v>10</v>
      </c>
      <c r="J16">
        <v>8.0815789473684205</v>
      </c>
      <c r="K16">
        <v>2.5</v>
      </c>
      <c r="L16">
        <v>2.5</v>
      </c>
      <c r="M16">
        <v>10</v>
      </c>
      <c r="N16">
        <v>4.379545454545454</v>
      </c>
      <c r="O16">
        <v>0</v>
      </c>
      <c r="P16">
        <v>6.25</v>
      </c>
      <c r="Q16">
        <v>3.3333333330000001</v>
      </c>
      <c r="R16">
        <v>4.7216094540294646</v>
      </c>
      <c r="S16">
        <v>5.5331610402862683</v>
      </c>
    </row>
    <row r="17" spans="1:20" ht="15.75" customHeight="1" x14ac:dyDescent="0.2">
      <c r="A17">
        <v>5</v>
      </c>
      <c r="B17">
        <v>5</v>
      </c>
      <c r="C17">
        <v>5.0000000000000009</v>
      </c>
      <c r="D17">
        <v>3.3333333330000001</v>
      </c>
      <c r="E17">
        <v>10</v>
      </c>
      <c r="F17">
        <v>6.1446030934018809</v>
      </c>
      <c r="G17">
        <v>2.5</v>
      </c>
      <c r="H17">
        <v>0</v>
      </c>
      <c r="I17">
        <v>2.5</v>
      </c>
      <c r="J17">
        <v>4.379545454545454</v>
      </c>
      <c r="K17">
        <v>5</v>
      </c>
      <c r="L17">
        <v>10</v>
      </c>
      <c r="M17">
        <v>5</v>
      </c>
      <c r="N17">
        <v>8.3666666666666671</v>
      </c>
      <c r="O17">
        <v>3.3333333330000001</v>
      </c>
      <c r="P17">
        <v>5</v>
      </c>
      <c r="Q17">
        <v>1.6666666670000001</v>
      </c>
      <c r="R17">
        <v>4.7216094540294646</v>
      </c>
      <c r="S17">
        <v>7.0370382764445338</v>
      </c>
    </row>
    <row r="18" spans="1:20" ht="15.75" customHeight="1" x14ac:dyDescent="0.2">
      <c r="A18">
        <v>5</v>
      </c>
      <c r="B18">
        <v>5</v>
      </c>
      <c r="C18">
        <v>5.0000000000000009</v>
      </c>
      <c r="D18">
        <v>3.3333333330000001</v>
      </c>
      <c r="E18">
        <v>10</v>
      </c>
      <c r="F18">
        <v>6.1446030934018809</v>
      </c>
      <c r="G18">
        <v>2.5</v>
      </c>
      <c r="H18">
        <v>0</v>
      </c>
      <c r="I18">
        <v>2.5</v>
      </c>
      <c r="J18">
        <v>4.379545454545454</v>
      </c>
      <c r="K18">
        <v>5</v>
      </c>
      <c r="L18">
        <v>10</v>
      </c>
      <c r="M18">
        <v>5</v>
      </c>
      <c r="N18">
        <v>8.3666666666666671</v>
      </c>
      <c r="O18">
        <v>3.3333333330000001</v>
      </c>
      <c r="P18">
        <v>5</v>
      </c>
      <c r="Q18">
        <v>1.6666666670000001</v>
      </c>
      <c r="R18">
        <v>4.7216094540294646</v>
      </c>
      <c r="S18">
        <v>7.0370382764445338</v>
      </c>
      <c r="T18" t="e">
        <f>She</f>
        <v>#NAME?</v>
      </c>
    </row>
    <row r="19" spans="1:20" ht="15.75" customHeight="1" x14ac:dyDescent="0.2">
      <c r="A19">
        <v>8.3333333330000006</v>
      </c>
      <c r="B19">
        <v>5</v>
      </c>
      <c r="C19">
        <v>6.1446030934018809</v>
      </c>
      <c r="D19">
        <v>8.3333333330000006</v>
      </c>
      <c r="E19">
        <v>5</v>
      </c>
      <c r="F19">
        <v>6.1446030934018809</v>
      </c>
      <c r="G19">
        <v>10</v>
      </c>
      <c r="H19">
        <v>10</v>
      </c>
      <c r="I19">
        <v>10</v>
      </c>
      <c r="J19">
        <v>8.3666666666666671</v>
      </c>
      <c r="K19">
        <v>5</v>
      </c>
      <c r="L19">
        <v>2.5</v>
      </c>
      <c r="M19">
        <v>5</v>
      </c>
      <c r="N19">
        <v>4.9999999999999982</v>
      </c>
      <c r="O19">
        <v>6.6666666670000003</v>
      </c>
      <c r="P19">
        <v>7.5</v>
      </c>
      <c r="Q19">
        <v>3.3333333330000001</v>
      </c>
      <c r="R19">
        <v>5.6204545454545451</v>
      </c>
      <c r="S19">
        <v>8.1199564746171262</v>
      </c>
      <c r="T19" t="str">
        <f t="shared" ref="T19:T41" si="14">IF(S19:S118&lt;4.5,"Yes",IF(S19:S118&gt;=6,"No","Maybe"))</f>
        <v>No</v>
      </c>
    </row>
    <row r="20" spans="1:20" ht="15.75" customHeight="1" x14ac:dyDescent="0.2">
      <c r="A20">
        <v>8.3333333330000006</v>
      </c>
      <c r="B20">
        <v>5</v>
      </c>
      <c r="C20">
        <v>6.1446030934018809</v>
      </c>
      <c r="D20">
        <v>8.3333333330000006</v>
      </c>
      <c r="E20">
        <v>5</v>
      </c>
      <c r="F20">
        <v>6.1446030934018809</v>
      </c>
      <c r="G20">
        <v>10</v>
      </c>
      <c r="H20">
        <v>10</v>
      </c>
      <c r="I20">
        <v>10</v>
      </c>
      <c r="J20">
        <v>8.3666666666666671</v>
      </c>
      <c r="K20">
        <v>5</v>
      </c>
      <c r="L20">
        <v>2.5</v>
      </c>
      <c r="M20">
        <v>5</v>
      </c>
      <c r="N20">
        <v>4.9999999999999982</v>
      </c>
      <c r="O20">
        <v>6.6666666670000003</v>
      </c>
      <c r="P20">
        <v>7.5</v>
      </c>
      <c r="Q20">
        <v>3.3333333330000001</v>
      </c>
      <c r="R20">
        <v>5.6204545454545451</v>
      </c>
      <c r="S20">
        <v>8.1199564746171262</v>
      </c>
      <c r="T20" t="str">
        <f t="shared" si="14"/>
        <v>No</v>
      </c>
    </row>
    <row r="21" spans="1:20" ht="15.75" customHeight="1" x14ac:dyDescent="0.2">
      <c r="A21">
        <v>8.3333333330000006</v>
      </c>
      <c r="B21">
        <v>5</v>
      </c>
      <c r="C21">
        <v>6.1446030934018809</v>
      </c>
      <c r="D21">
        <v>8.3333333330000006</v>
      </c>
      <c r="E21">
        <v>5</v>
      </c>
      <c r="F21">
        <v>6.1446030934018809</v>
      </c>
      <c r="G21">
        <v>10</v>
      </c>
      <c r="H21">
        <v>10</v>
      </c>
      <c r="I21">
        <v>10</v>
      </c>
      <c r="J21">
        <v>8.3666666666666671</v>
      </c>
      <c r="K21">
        <v>5</v>
      </c>
      <c r="L21">
        <v>2.5</v>
      </c>
      <c r="M21">
        <v>5</v>
      </c>
      <c r="N21">
        <v>4.9999999999999982</v>
      </c>
      <c r="O21">
        <v>6.6666666670000003</v>
      </c>
      <c r="P21">
        <v>7.5</v>
      </c>
      <c r="Q21">
        <v>3.3333333330000001</v>
      </c>
      <c r="R21">
        <v>5.6204545454545451</v>
      </c>
      <c r="S21">
        <v>8.1199564746171262</v>
      </c>
      <c r="T21" t="str">
        <f t="shared" si="14"/>
        <v>No</v>
      </c>
    </row>
    <row r="22" spans="1:20" ht="15.75" customHeight="1" x14ac:dyDescent="0.2">
      <c r="A22">
        <v>8.3333333330000006</v>
      </c>
      <c r="B22">
        <v>5</v>
      </c>
      <c r="C22">
        <v>6.1446030934018809</v>
      </c>
      <c r="D22">
        <v>8.3333333330000006</v>
      </c>
      <c r="E22">
        <v>5</v>
      </c>
      <c r="F22">
        <v>6.1446030934018809</v>
      </c>
      <c r="G22">
        <v>10</v>
      </c>
      <c r="H22">
        <v>10</v>
      </c>
      <c r="I22">
        <v>10</v>
      </c>
      <c r="J22">
        <v>8.3666666666666671</v>
      </c>
      <c r="K22">
        <v>5</v>
      </c>
      <c r="L22">
        <v>2.5</v>
      </c>
      <c r="M22">
        <v>5</v>
      </c>
      <c r="N22">
        <v>4.9999999999999982</v>
      </c>
      <c r="O22">
        <v>6.6666666670000003</v>
      </c>
      <c r="P22">
        <v>7.5</v>
      </c>
      <c r="Q22">
        <v>3.3333333330000001</v>
      </c>
      <c r="R22">
        <v>5.6204545454545451</v>
      </c>
      <c r="S22">
        <v>8.1199564746171262</v>
      </c>
      <c r="T22" t="str">
        <f t="shared" si="14"/>
        <v>No</v>
      </c>
    </row>
    <row r="23" spans="1:20" ht="15.75" customHeight="1" x14ac:dyDescent="0.2">
      <c r="A23">
        <v>8.3333333330000006</v>
      </c>
      <c r="B23">
        <v>5</v>
      </c>
      <c r="C23">
        <v>6.1446030934018809</v>
      </c>
      <c r="D23">
        <v>8.3333333330000006</v>
      </c>
      <c r="E23">
        <v>5</v>
      </c>
      <c r="F23">
        <v>6.1446030934018809</v>
      </c>
      <c r="G23">
        <v>10</v>
      </c>
      <c r="H23">
        <v>10</v>
      </c>
      <c r="I23">
        <v>10</v>
      </c>
      <c r="J23">
        <v>8.3666666666666671</v>
      </c>
      <c r="K23">
        <v>5</v>
      </c>
      <c r="L23">
        <v>2.5</v>
      </c>
      <c r="M23">
        <v>5</v>
      </c>
      <c r="N23">
        <v>4.9999999999999982</v>
      </c>
      <c r="O23">
        <v>6.6666666670000003</v>
      </c>
      <c r="P23">
        <v>7.5</v>
      </c>
      <c r="Q23">
        <v>3.3333333330000001</v>
      </c>
      <c r="R23">
        <v>5.6204545454545451</v>
      </c>
      <c r="S23">
        <v>8.1199564746171262</v>
      </c>
      <c r="T23" t="str">
        <f t="shared" si="14"/>
        <v>No</v>
      </c>
    </row>
    <row r="24" spans="1:20" ht="15.75" customHeight="1" x14ac:dyDescent="0.2">
      <c r="A24">
        <v>3.3333333330000001</v>
      </c>
      <c r="B24">
        <v>8.3333333330000006</v>
      </c>
      <c r="C24">
        <v>5.7517628454974101</v>
      </c>
      <c r="D24">
        <v>6.6666666670000003</v>
      </c>
      <c r="E24">
        <v>7.5</v>
      </c>
      <c r="F24">
        <v>5.6204545454545451</v>
      </c>
      <c r="G24">
        <v>5</v>
      </c>
      <c r="H24">
        <v>7.5</v>
      </c>
      <c r="I24">
        <v>2.5</v>
      </c>
      <c r="J24">
        <v>5.6204545454545451</v>
      </c>
      <c r="K24">
        <v>5</v>
      </c>
      <c r="L24">
        <v>10</v>
      </c>
      <c r="M24">
        <v>2.5</v>
      </c>
      <c r="N24">
        <v>5.6204545454545451</v>
      </c>
      <c r="O24">
        <v>1.6666666670000001</v>
      </c>
      <c r="P24">
        <v>3.75</v>
      </c>
      <c r="Q24">
        <v>3.3333333330000001</v>
      </c>
      <c r="R24">
        <v>4.7216094540294646</v>
      </c>
      <c r="S24">
        <v>7.6421079401772154</v>
      </c>
      <c r="T24" t="str">
        <f t="shared" si="14"/>
        <v>No</v>
      </c>
    </row>
    <row r="25" spans="1:20" ht="15.75" customHeight="1" x14ac:dyDescent="0.2">
      <c r="A25">
        <v>3.3333333330000001</v>
      </c>
      <c r="B25">
        <v>8.3333333330000006</v>
      </c>
      <c r="C25">
        <v>5.7517628454974101</v>
      </c>
      <c r="D25">
        <v>6.6666666670000003</v>
      </c>
      <c r="E25">
        <v>7.5</v>
      </c>
      <c r="F25">
        <v>5.6204545454545451</v>
      </c>
      <c r="G25">
        <v>5</v>
      </c>
      <c r="H25">
        <v>7.5</v>
      </c>
      <c r="I25">
        <v>2.5</v>
      </c>
      <c r="J25">
        <v>5.6204545454545451</v>
      </c>
      <c r="K25">
        <v>5</v>
      </c>
      <c r="L25">
        <v>10</v>
      </c>
      <c r="M25">
        <v>2.5</v>
      </c>
      <c r="N25">
        <v>5.6204545454545451</v>
      </c>
      <c r="O25">
        <v>1.6666666670000001</v>
      </c>
      <c r="P25">
        <v>3.75</v>
      </c>
      <c r="Q25">
        <v>3.3333333330000001</v>
      </c>
      <c r="R25">
        <v>4.7216094540294646</v>
      </c>
      <c r="S25">
        <v>7.6421079401772154</v>
      </c>
      <c r="T25" t="str">
        <f t="shared" si="14"/>
        <v>No</v>
      </c>
    </row>
    <row r="26" spans="1:20" ht="15.75" customHeight="1" x14ac:dyDescent="0.2">
      <c r="A26" s="3">
        <v>10</v>
      </c>
      <c r="B26" s="3">
        <v>5</v>
      </c>
      <c r="C26" s="3">
        <v>8.3666666666666671</v>
      </c>
      <c r="D26" s="3">
        <v>6.6666666670000003</v>
      </c>
      <c r="E26" s="3">
        <v>5</v>
      </c>
      <c r="F26" s="3">
        <v>5.2783905459705327</v>
      </c>
      <c r="G26" s="3">
        <v>10</v>
      </c>
      <c r="H26" s="3">
        <v>7.5</v>
      </c>
      <c r="I26" s="3">
        <v>10</v>
      </c>
      <c r="J26" s="3">
        <v>8.0815789473684205</v>
      </c>
      <c r="K26" s="3">
        <v>5</v>
      </c>
      <c r="L26" s="3">
        <v>0</v>
      </c>
      <c r="M26" s="3">
        <v>5</v>
      </c>
      <c r="N26" s="3">
        <v>5.0000000000000009</v>
      </c>
      <c r="O26" s="3">
        <v>6.6666666670000003</v>
      </c>
      <c r="P26" s="3">
        <v>6.25</v>
      </c>
      <c r="Q26" s="3">
        <v>5</v>
      </c>
      <c r="R26" s="3">
        <v>5.2783905459705327</v>
      </c>
      <c r="S26" s="3">
        <v>8.1827695302993391</v>
      </c>
      <c r="T26" t="str">
        <f t="shared" si="14"/>
        <v>No</v>
      </c>
    </row>
    <row r="27" spans="1:20" ht="15.75" customHeight="1" x14ac:dyDescent="0.2">
      <c r="A27">
        <v>10</v>
      </c>
      <c r="B27">
        <v>5</v>
      </c>
      <c r="C27">
        <v>8.3666666666666671</v>
      </c>
      <c r="D27">
        <v>6.6666666670000003</v>
      </c>
      <c r="E27">
        <v>5</v>
      </c>
      <c r="F27">
        <v>5.2783905459705327</v>
      </c>
      <c r="G27">
        <v>10</v>
      </c>
      <c r="H27">
        <v>7.5</v>
      </c>
      <c r="I27">
        <v>10</v>
      </c>
      <c r="J27">
        <v>8.0815789473684205</v>
      </c>
      <c r="K27">
        <v>5</v>
      </c>
      <c r="L27">
        <v>0</v>
      </c>
      <c r="M27">
        <v>5</v>
      </c>
      <c r="N27">
        <v>5.0000000000000009</v>
      </c>
      <c r="O27">
        <v>6.6666666670000003</v>
      </c>
      <c r="P27">
        <v>6.25</v>
      </c>
      <c r="Q27">
        <v>5</v>
      </c>
      <c r="R27">
        <v>5.2783905459705327</v>
      </c>
      <c r="S27">
        <v>8.1827695302993391</v>
      </c>
      <c r="T27" t="str">
        <f t="shared" si="14"/>
        <v>No</v>
      </c>
    </row>
    <row r="28" spans="1:20" ht="15.75" customHeight="1" x14ac:dyDescent="0.2">
      <c r="A28">
        <v>10</v>
      </c>
      <c r="B28">
        <v>5</v>
      </c>
      <c r="C28">
        <v>8.3666666666666671</v>
      </c>
      <c r="D28">
        <v>6.6666666670000003</v>
      </c>
      <c r="E28">
        <v>5</v>
      </c>
      <c r="F28">
        <v>5.2783905459705327</v>
      </c>
      <c r="G28">
        <v>10</v>
      </c>
      <c r="H28">
        <v>7.5</v>
      </c>
      <c r="I28">
        <v>10</v>
      </c>
      <c r="J28">
        <v>8.0815789473684205</v>
      </c>
      <c r="K28">
        <v>5</v>
      </c>
      <c r="L28">
        <v>0</v>
      </c>
      <c r="M28">
        <v>5</v>
      </c>
      <c r="N28">
        <v>5.0000000000000009</v>
      </c>
      <c r="O28">
        <v>6.6666666670000003</v>
      </c>
      <c r="P28">
        <v>6.25</v>
      </c>
      <c r="Q28">
        <v>5</v>
      </c>
      <c r="R28">
        <v>5.2783905459705327</v>
      </c>
      <c r="S28">
        <v>8.1827695302993391</v>
      </c>
      <c r="T28" t="str">
        <f t="shared" si="14"/>
        <v>No</v>
      </c>
    </row>
    <row r="29" spans="1:20" ht="15.75" customHeight="1" x14ac:dyDescent="0.2">
      <c r="A29">
        <v>10</v>
      </c>
      <c r="B29">
        <v>5</v>
      </c>
      <c r="C29">
        <v>8.3666666666666671</v>
      </c>
      <c r="D29">
        <v>6.6666666670000003</v>
      </c>
      <c r="E29">
        <v>5</v>
      </c>
      <c r="F29">
        <v>5.2783905459705327</v>
      </c>
      <c r="G29">
        <v>10</v>
      </c>
      <c r="H29">
        <v>7.5</v>
      </c>
      <c r="I29">
        <v>10</v>
      </c>
      <c r="J29">
        <v>8.0815789473684205</v>
      </c>
      <c r="K29">
        <v>5</v>
      </c>
      <c r="L29">
        <v>0</v>
      </c>
      <c r="M29">
        <v>5</v>
      </c>
      <c r="N29">
        <v>5.0000000000000009</v>
      </c>
      <c r="O29">
        <v>6.6666666670000003</v>
      </c>
      <c r="P29">
        <v>6.25</v>
      </c>
      <c r="Q29">
        <v>5</v>
      </c>
      <c r="R29">
        <v>5.2783905459705327</v>
      </c>
      <c r="S29">
        <v>8.1827695302993391</v>
      </c>
      <c r="T29" t="str">
        <f t="shared" si="14"/>
        <v>No</v>
      </c>
    </row>
    <row r="30" spans="1:20" ht="15.75" customHeight="1" x14ac:dyDescent="0.2">
      <c r="A30">
        <v>5</v>
      </c>
      <c r="B30">
        <v>6.6666666670000003</v>
      </c>
      <c r="C30">
        <v>5.2783905459705327</v>
      </c>
      <c r="D30">
        <v>5</v>
      </c>
      <c r="E30">
        <v>5</v>
      </c>
      <c r="F30">
        <v>5.0000000000000009</v>
      </c>
      <c r="G30">
        <v>7.5</v>
      </c>
      <c r="H30">
        <v>7.5</v>
      </c>
      <c r="I30">
        <v>10</v>
      </c>
      <c r="J30">
        <v>8.0815789473684205</v>
      </c>
      <c r="K30">
        <v>7.5</v>
      </c>
      <c r="L30">
        <v>2.5</v>
      </c>
      <c r="M30">
        <v>10</v>
      </c>
      <c r="N30">
        <v>5.6204545454545451</v>
      </c>
      <c r="O30">
        <v>5</v>
      </c>
      <c r="P30">
        <v>6.25</v>
      </c>
      <c r="Q30">
        <v>6.6666666670000003</v>
      </c>
      <c r="R30">
        <v>5.2783905459705327</v>
      </c>
      <c r="S30">
        <v>8.1827695302993391</v>
      </c>
      <c r="T30" t="str">
        <f t="shared" si="14"/>
        <v>No</v>
      </c>
    </row>
    <row r="31" spans="1:20" ht="15.75" customHeight="1" x14ac:dyDescent="0.2">
      <c r="A31">
        <v>5</v>
      </c>
      <c r="B31">
        <v>6.6666666670000003</v>
      </c>
      <c r="C31">
        <v>5.2783905459705327</v>
      </c>
      <c r="D31">
        <v>5</v>
      </c>
      <c r="E31">
        <v>5</v>
      </c>
      <c r="F31">
        <v>5.0000000000000009</v>
      </c>
      <c r="G31">
        <v>7.5</v>
      </c>
      <c r="H31">
        <v>7.5</v>
      </c>
      <c r="I31">
        <v>10</v>
      </c>
      <c r="J31">
        <v>8.0815789473684205</v>
      </c>
      <c r="K31">
        <v>7.5</v>
      </c>
      <c r="L31">
        <v>2.5</v>
      </c>
      <c r="M31">
        <v>10</v>
      </c>
      <c r="N31">
        <v>5.6204545454545451</v>
      </c>
      <c r="O31">
        <v>5</v>
      </c>
      <c r="P31">
        <v>6.25</v>
      </c>
      <c r="Q31">
        <v>6.6666666670000003</v>
      </c>
      <c r="R31">
        <v>5.2783905459705327</v>
      </c>
      <c r="S31">
        <v>8.1827695302993391</v>
      </c>
      <c r="T31" t="str">
        <f t="shared" si="14"/>
        <v>No</v>
      </c>
    </row>
    <row r="32" spans="1:20" ht="15.75" customHeight="1" x14ac:dyDescent="0.2">
      <c r="A32">
        <v>4</v>
      </c>
      <c r="B32">
        <v>5</v>
      </c>
      <c r="C32">
        <v>4.894704684317718</v>
      </c>
      <c r="D32">
        <v>6</v>
      </c>
      <c r="E32">
        <v>4</v>
      </c>
      <c r="F32">
        <v>4.9999999999999964</v>
      </c>
      <c r="G32">
        <v>5</v>
      </c>
      <c r="H32">
        <v>6</v>
      </c>
      <c r="I32">
        <v>4</v>
      </c>
      <c r="J32">
        <v>5.1052953156822767</v>
      </c>
      <c r="K32">
        <v>5</v>
      </c>
      <c r="L32">
        <v>6</v>
      </c>
      <c r="M32">
        <v>4</v>
      </c>
      <c r="N32">
        <v>5.1052953156822767</v>
      </c>
      <c r="O32">
        <v>5</v>
      </c>
      <c r="P32">
        <v>6</v>
      </c>
      <c r="Q32">
        <v>4</v>
      </c>
      <c r="R32">
        <v>5.1052953156822767</v>
      </c>
      <c r="S32">
        <v>8.3625090487447</v>
      </c>
      <c r="T32" t="str">
        <f t="shared" si="14"/>
        <v>No</v>
      </c>
    </row>
    <row r="33" spans="1:20" ht="15.75" customHeight="1" x14ac:dyDescent="0.2">
      <c r="A33">
        <v>4</v>
      </c>
      <c r="B33">
        <v>5</v>
      </c>
      <c r="C33">
        <v>4.894704684317718</v>
      </c>
      <c r="D33">
        <v>6</v>
      </c>
      <c r="E33">
        <v>4</v>
      </c>
      <c r="F33">
        <v>4.9999999999999964</v>
      </c>
      <c r="G33">
        <v>5</v>
      </c>
      <c r="H33">
        <v>6</v>
      </c>
      <c r="I33">
        <v>4</v>
      </c>
      <c r="J33">
        <v>5.1052953156822767</v>
      </c>
      <c r="K33">
        <v>5</v>
      </c>
      <c r="L33">
        <v>6</v>
      </c>
      <c r="M33">
        <v>4</v>
      </c>
      <c r="N33">
        <v>5.1052953156822767</v>
      </c>
      <c r="O33">
        <v>5</v>
      </c>
      <c r="P33">
        <v>6</v>
      </c>
      <c r="Q33">
        <v>4</v>
      </c>
      <c r="R33">
        <v>5.1052953156822767</v>
      </c>
      <c r="S33">
        <v>8.3625090487447</v>
      </c>
      <c r="T33" t="str">
        <f t="shared" si="14"/>
        <v>No</v>
      </c>
    </row>
    <row r="34" spans="1:20" ht="15.75" customHeight="1" x14ac:dyDescent="0.2">
      <c r="A34">
        <v>4</v>
      </c>
      <c r="B34">
        <v>5</v>
      </c>
      <c r="C34">
        <v>4.894704684317718</v>
      </c>
      <c r="D34">
        <v>6</v>
      </c>
      <c r="E34">
        <v>4</v>
      </c>
      <c r="F34">
        <v>4.9999999999999964</v>
      </c>
      <c r="G34">
        <v>5</v>
      </c>
      <c r="H34">
        <v>6</v>
      </c>
      <c r="I34">
        <v>4</v>
      </c>
      <c r="J34">
        <v>5.1052953156822767</v>
      </c>
      <c r="K34">
        <v>5</v>
      </c>
      <c r="L34">
        <v>6</v>
      </c>
      <c r="M34">
        <v>4</v>
      </c>
      <c r="N34">
        <v>5.1052953156822767</v>
      </c>
      <c r="O34">
        <v>5</v>
      </c>
      <c r="P34">
        <v>6</v>
      </c>
      <c r="Q34">
        <v>4</v>
      </c>
      <c r="R34">
        <v>5.1052953156822767</v>
      </c>
      <c r="S34">
        <v>8.3625090487447</v>
      </c>
      <c r="T34" t="str">
        <f t="shared" si="14"/>
        <v>No</v>
      </c>
    </row>
    <row r="35" spans="1:20" ht="15.75" customHeight="1" x14ac:dyDescent="0.2">
      <c r="A35">
        <v>4</v>
      </c>
      <c r="B35">
        <v>5</v>
      </c>
      <c r="C35">
        <v>4.894704684317718</v>
      </c>
      <c r="D35">
        <v>6</v>
      </c>
      <c r="E35">
        <v>4</v>
      </c>
      <c r="F35">
        <v>4.9999999999999964</v>
      </c>
      <c r="G35">
        <v>5</v>
      </c>
      <c r="H35">
        <v>6</v>
      </c>
      <c r="I35">
        <v>4</v>
      </c>
      <c r="J35">
        <v>5.1052953156822767</v>
      </c>
      <c r="K35">
        <v>5</v>
      </c>
      <c r="L35">
        <v>6</v>
      </c>
      <c r="M35">
        <v>4</v>
      </c>
      <c r="N35">
        <v>5.1052953156822767</v>
      </c>
      <c r="O35">
        <v>5</v>
      </c>
      <c r="P35">
        <v>6</v>
      </c>
      <c r="Q35">
        <v>4</v>
      </c>
      <c r="R35">
        <v>5.1052953156822767</v>
      </c>
      <c r="S35">
        <v>8.3625090487447</v>
      </c>
      <c r="T35" t="str">
        <f t="shared" si="14"/>
        <v>No</v>
      </c>
    </row>
    <row r="36" spans="1:20" ht="15.75" customHeight="1" x14ac:dyDescent="0.2">
      <c r="A36">
        <v>4</v>
      </c>
      <c r="B36">
        <v>5</v>
      </c>
      <c r="C36">
        <v>4.894704684317718</v>
      </c>
      <c r="D36">
        <v>6</v>
      </c>
      <c r="E36">
        <v>4</v>
      </c>
      <c r="F36">
        <v>4.9999999999999964</v>
      </c>
      <c r="G36">
        <v>5</v>
      </c>
      <c r="H36">
        <v>6</v>
      </c>
      <c r="I36">
        <v>4</v>
      </c>
      <c r="J36">
        <v>5.1052953156822767</v>
      </c>
      <c r="K36">
        <v>5</v>
      </c>
      <c r="L36">
        <v>6</v>
      </c>
      <c r="M36">
        <v>4</v>
      </c>
      <c r="N36">
        <v>5.1052953156822767</v>
      </c>
      <c r="O36">
        <v>5</v>
      </c>
      <c r="P36">
        <v>6</v>
      </c>
      <c r="Q36">
        <v>4</v>
      </c>
      <c r="R36">
        <v>5.1052953156822767</v>
      </c>
      <c r="S36">
        <v>8.3625090487447</v>
      </c>
      <c r="T36" t="str">
        <f t="shared" si="14"/>
        <v>No</v>
      </c>
    </row>
    <row r="37" spans="1:20" ht="15.75" customHeight="1" x14ac:dyDescent="0.2">
      <c r="T37" t="str">
        <f t="shared" si="14"/>
        <v>Yes</v>
      </c>
    </row>
    <row r="38" spans="1:20" ht="15.75" customHeight="1" x14ac:dyDescent="0.2">
      <c r="T38" t="str">
        <f t="shared" si="14"/>
        <v>Yes</v>
      </c>
    </row>
    <row r="39" spans="1:20" ht="15.75" customHeight="1" x14ac:dyDescent="0.2">
      <c r="T39" t="str">
        <f t="shared" si="14"/>
        <v>Yes</v>
      </c>
    </row>
    <row r="40" spans="1:20" ht="15.75" customHeight="1" x14ac:dyDescent="0.2">
      <c r="T40" t="str">
        <f t="shared" si="14"/>
        <v>Yes</v>
      </c>
    </row>
    <row r="41" spans="1:20" ht="15.75" customHeight="1" x14ac:dyDescent="0.2">
      <c r="T41" t="str">
        <f t="shared" si="14"/>
        <v>Yes</v>
      </c>
    </row>
    <row r="42" spans="1:20" ht="15.75" customHeight="1" x14ac:dyDescent="0.2">
      <c r="T42" t="str">
        <f t="shared" ref="T42:T55" si="15">IF(S42:S141&lt;4.5,"Yes",IF(S42:S153&gt;=6,"No","Maybe"))</f>
        <v>Yes</v>
      </c>
    </row>
    <row r="43" spans="1:20" ht="15.75" customHeight="1" x14ac:dyDescent="0.2">
      <c r="T43" t="str">
        <f t="shared" si="15"/>
        <v>Yes</v>
      </c>
    </row>
    <row r="44" spans="1:20" ht="15.75" customHeight="1" x14ac:dyDescent="0.2">
      <c r="T44" t="str">
        <f t="shared" si="15"/>
        <v>Yes</v>
      </c>
    </row>
    <row r="45" spans="1:20" ht="15.75" customHeight="1" x14ac:dyDescent="0.2">
      <c r="T45" t="str">
        <f t="shared" si="15"/>
        <v>Yes</v>
      </c>
    </row>
    <row r="46" spans="1:20" ht="15.75" customHeight="1" x14ac:dyDescent="0.2">
      <c r="T46" t="str">
        <f t="shared" si="15"/>
        <v>Yes</v>
      </c>
    </row>
    <row r="47" spans="1:20" ht="15.75" customHeight="1" x14ac:dyDescent="0.2">
      <c r="T47" t="str">
        <f t="shared" si="15"/>
        <v>Yes</v>
      </c>
    </row>
    <row r="48" spans="1:20" ht="15.75" customHeight="1" x14ac:dyDescent="0.2">
      <c r="T48" t="str">
        <f t="shared" si="15"/>
        <v>Yes</v>
      </c>
    </row>
    <row r="49" spans="19:20" ht="15.75" customHeight="1" x14ac:dyDescent="0.2">
      <c r="T49" t="str">
        <f t="shared" si="15"/>
        <v>Yes</v>
      </c>
    </row>
    <row r="50" spans="19:20" ht="15.75" customHeight="1" x14ac:dyDescent="0.2">
      <c r="T50" t="str">
        <f t="shared" si="15"/>
        <v>Yes</v>
      </c>
    </row>
    <row r="51" spans="19:20" ht="15.75" customHeight="1" x14ac:dyDescent="0.2">
      <c r="T51" t="str">
        <f t="shared" si="15"/>
        <v>Yes</v>
      </c>
    </row>
    <row r="52" spans="19:20" ht="15.75" customHeight="1" x14ac:dyDescent="0.2">
      <c r="T52" t="str">
        <f t="shared" si="15"/>
        <v>Yes</v>
      </c>
    </row>
    <row r="53" spans="19:20" ht="15.75" customHeight="1" x14ac:dyDescent="0.2">
      <c r="T53" t="str">
        <f t="shared" si="15"/>
        <v>Yes</v>
      </c>
    </row>
    <row r="54" spans="19:20" ht="15.75" customHeight="1" x14ac:dyDescent="0.2">
      <c r="T54" t="str">
        <f t="shared" si="15"/>
        <v>Yes</v>
      </c>
    </row>
    <row r="55" spans="19:20" ht="15.75" customHeight="1" x14ac:dyDescent="0.2">
      <c r="S55">
        <v>3</v>
      </c>
      <c r="T55" t="str">
        <f t="shared" si="15"/>
        <v>Yes</v>
      </c>
    </row>
    <row r="56" spans="19:20" ht="15.75" customHeight="1" x14ac:dyDescent="0.2">
      <c r="T56" t="str">
        <f t="shared" ref="T56:T57" si="16">IF(S56:S154&lt;4.5,"Yes",IF(S56:S154&gt;=6,"No","Maybe"))</f>
        <v>Yes</v>
      </c>
    </row>
    <row r="57" spans="19:20" x14ac:dyDescent="0.2">
      <c r="T57" t="str">
        <f t="shared" si="16"/>
        <v>Yes</v>
      </c>
    </row>
    <row r="75" spans="3:17" x14ac:dyDescent="0.2">
      <c r="J75" s="10" t="s">
        <v>20</v>
      </c>
      <c r="K75" s="10"/>
      <c r="L75" s="10"/>
    </row>
    <row r="76" spans="3:17" x14ac:dyDescent="0.2">
      <c r="J76" s="15" t="str">
        <f>T31</f>
        <v>No</v>
      </c>
      <c r="K76" s="15"/>
      <c r="L76" s="15"/>
    </row>
    <row r="77" spans="3:17" x14ac:dyDescent="0.2">
      <c r="J77" s="15"/>
      <c r="K77" s="15"/>
      <c r="L77" s="15"/>
    </row>
    <row r="78" spans="3:17" x14ac:dyDescent="0.2">
      <c r="C78" s="2"/>
      <c r="J78" s="15"/>
      <c r="K78" s="15"/>
      <c r="L78" s="15"/>
    </row>
    <row r="80" spans="3:17" x14ac:dyDescent="0.2">
      <c r="C80" s="5" t="s">
        <v>21</v>
      </c>
      <c r="D80" s="5"/>
      <c r="E80" s="5"/>
      <c r="F80" s="5" t="s">
        <v>22</v>
      </c>
      <c r="G80" s="5"/>
      <c r="H80" s="5" t="s">
        <v>23</v>
      </c>
      <c r="I80" s="5"/>
      <c r="J80" s="5" t="s">
        <v>24</v>
      </c>
      <c r="K80" s="5"/>
      <c r="L80" s="5" t="s">
        <v>25</v>
      </c>
      <c r="M80" s="5"/>
      <c r="N80" s="5" t="s">
        <v>26</v>
      </c>
      <c r="O80" s="5"/>
      <c r="P80" s="16"/>
      <c r="Q80" s="16"/>
    </row>
    <row r="81" spans="3:17" x14ac:dyDescent="0.2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16"/>
      <c r="Q81" s="16"/>
    </row>
    <row r="82" spans="3:17" x14ac:dyDescent="0.2">
      <c r="C82" s="5" t="s">
        <v>27</v>
      </c>
      <c r="D82" s="5"/>
      <c r="E82" s="5"/>
      <c r="F82" s="4">
        <f>C30</f>
        <v>5.2783905459705327</v>
      </c>
      <c r="G82" s="4"/>
      <c r="H82" s="4">
        <f>F30</f>
        <v>5.0000000000000009</v>
      </c>
      <c r="I82" s="4"/>
      <c r="J82" s="4">
        <f>J30</f>
        <v>8.0815789473684205</v>
      </c>
      <c r="K82" s="4"/>
      <c r="L82" s="4">
        <f>N30</f>
        <v>5.6204545454545451</v>
      </c>
      <c r="M82" s="4"/>
      <c r="N82" s="4">
        <f>R30</f>
        <v>5.2783905459705327</v>
      </c>
      <c r="O82" s="4"/>
    </row>
    <row r="83" spans="3:17" x14ac:dyDescent="0.2">
      <c r="C83" s="5"/>
      <c r="D83" s="5"/>
      <c r="E83" s="5"/>
      <c r="F83" s="4"/>
      <c r="G83" s="4"/>
      <c r="H83" s="4"/>
      <c r="I83" s="4"/>
      <c r="J83" s="4"/>
      <c r="K83" s="4"/>
      <c r="L83" s="4"/>
      <c r="M83" s="4"/>
      <c r="N83" s="4"/>
      <c r="O83" s="4"/>
    </row>
    <row r="84" spans="3:17" x14ac:dyDescent="0.2">
      <c r="C84" s="5" t="s">
        <v>28</v>
      </c>
      <c r="D84" s="5"/>
      <c r="E84" s="5"/>
      <c r="F84" s="4" t="str">
        <f>IF(F82&lt;4.5,"Autistic in this module",IF(F82&gt;=7.5,"Excellent","Moderate"))</f>
        <v>Moderate</v>
      </c>
      <c r="G84" s="4"/>
      <c r="H84" s="4" t="str">
        <f>IF(H82&lt;4.5,"Autistic in this module",IF(H82&gt;=7.5,"Excellent","Moderate"))</f>
        <v>Moderate</v>
      </c>
      <c r="I84" s="4"/>
      <c r="J84" s="4" t="str">
        <f>IF(J82&lt;4.5,"Autistic in this module",IF(J82&gt;=7.5,"Excellent","Moderate"))</f>
        <v>Excellent</v>
      </c>
      <c r="K84" s="4"/>
      <c r="L84" s="4" t="str">
        <f>IF(L82&lt;4.5,"Autistic in this module",IF(L82&gt;=7.5,"Excellent","Moderate"))</f>
        <v>Moderate</v>
      </c>
      <c r="M84" s="4"/>
      <c r="N84" s="4" t="str">
        <f>IF(N82&lt;4.5,"Autistic in this module",IF(N82&gt;=7.5,"Excellent","Moderate"))</f>
        <v>Moderate</v>
      </c>
      <c r="O84" s="4"/>
    </row>
    <row r="85" spans="3:17" x14ac:dyDescent="0.2">
      <c r="C85" s="5"/>
      <c r="D85" s="5"/>
      <c r="E85" s="5"/>
      <c r="F85" s="4"/>
      <c r="G85" s="4"/>
      <c r="H85" s="4"/>
      <c r="I85" s="4"/>
      <c r="J85" s="4"/>
      <c r="K85" s="4"/>
      <c r="L85" s="4"/>
      <c r="M85" s="4"/>
      <c r="N85" s="4"/>
      <c r="O85" s="4"/>
    </row>
  </sheetData>
  <mergeCells count="21">
    <mergeCell ref="N84:O85"/>
    <mergeCell ref="C84:E85"/>
    <mergeCell ref="F82:G83"/>
    <mergeCell ref="H82:I83"/>
    <mergeCell ref="J82:K83"/>
    <mergeCell ref="L82:M83"/>
    <mergeCell ref="F84:G85"/>
    <mergeCell ref="H84:I85"/>
    <mergeCell ref="J84:K85"/>
    <mergeCell ref="L84:M85"/>
    <mergeCell ref="N80:O81"/>
    <mergeCell ref="P80:Q81"/>
    <mergeCell ref="C80:E81"/>
    <mergeCell ref="C82:E83"/>
    <mergeCell ref="N82:O83"/>
    <mergeCell ref="J75:L75"/>
    <mergeCell ref="J76:L78"/>
    <mergeCell ref="F80:G81"/>
    <mergeCell ref="H80:I81"/>
    <mergeCell ref="J80:K81"/>
    <mergeCell ref="L80:M81"/>
  </mergeCells>
  <pageMargins left="0.7" right="0.7" top="0.75" bottom="0.75" header="0.3" footer="0.3"/>
  <pageSetup paperSize="9"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append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Akash Desarda</dc:creator>
  <cp:keywords/>
  <dc:description/>
  <cp:lastModifiedBy>expert</cp:lastModifiedBy>
  <cp:revision/>
  <dcterms:created xsi:type="dcterms:W3CDTF">2018-02-27T05:42:16Z</dcterms:created>
  <dcterms:modified xsi:type="dcterms:W3CDTF">2018-04-07T12:16:55Z</dcterms:modified>
  <cp:category/>
  <cp:contentStatus/>
</cp:coreProperties>
</file>