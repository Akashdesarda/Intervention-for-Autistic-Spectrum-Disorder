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xpert\Google Drive\Final Project\src\excel\"/>
    </mc:Choice>
  </mc:AlternateContent>
  <xr:revisionPtr revIDLastSave="0" documentId="12_ncr:500000_{E4ED2164-E7D9-41F3-BA22-153B93A6B551}" xr6:coauthVersionLast="31" xr6:coauthVersionMax="31" xr10:uidLastSave="{00000000-0000-0000-0000-000000000000}"/>
  <bookViews>
    <workbookView xWindow="0" yWindow="0" windowWidth="20490" windowHeight="8820" activeTab="1" xr2:uid="{00000000-000D-0000-FFFF-FFFF00000000}"/>
  </bookViews>
  <sheets>
    <sheet name="Sheet1" sheetId="1" r:id="rId1"/>
    <sheet name="append" sheetId="4" r:id="rId2"/>
  </sheets>
  <calcPr calcId="162913"/>
</workbook>
</file>

<file path=xl/calcChain.xml><?xml version="1.0" encoding="utf-8"?>
<calcChain xmlns="http://schemas.openxmlformats.org/spreadsheetml/2006/main">
  <c r="T2" i="4" l="1"/>
  <c r="T3" i="4"/>
  <c r="T4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" i="4"/>
  <c r="F62" i="4" l="1"/>
  <c r="F64" i="4" s="1"/>
  <c r="H62" i="4"/>
  <c r="H64" i="4" s="1"/>
  <c r="J62" i="4"/>
  <c r="J64" i="4" s="1"/>
  <c r="L62" i="4"/>
  <c r="L64" i="4" s="1"/>
  <c r="N62" i="4"/>
  <c r="N64" i="4" s="1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J56" i="4"/>
  <c r="T36" i="4"/>
  <c r="T37" i="4"/>
</calcChain>
</file>

<file path=xl/sharedStrings.xml><?xml version="1.0" encoding="utf-8"?>
<sst xmlns="http://schemas.openxmlformats.org/spreadsheetml/2006/main" count="51" uniqueCount="29">
  <si>
    <t>v1</t>
  </si>
  <si>
    <t>v2</t>
  </si>
  <si>
    <t>outv</t>
  </si>
  <si>
    <t>l1</t>
  </si>
  <si>
    <t>l2</t>
  </si>
  <si>
    <t>outl</t>
  </si>
  <si>
    <t>o1</t>
  </si>
  <si>
    <t>o2</t>
  </si>
  <si>
    <t>o3</t>
  </si>
  <si>
    <t>outo</t>
  </si>
  <si>
    <t>e1</t>
  </si>
  <si>
    <t>e2</t>
  </si>
  <si>
    <t>e3</t>
  </si>
  <si>
    <t>oute</t>
  </si>
  <si>
    <t>s1</t>
  </si>
  <si>
    <t>s2</t>
  </si>
  <si>
    <t>s3</t>
  </si>
  <si>
    <t>outs</t>
  </si>
  <si>
    <t>outm</t>
  </si>
  <si>
    <t/>
  </si>
  <si>
    <t>Autism Result:</t>
  </si>
  <si>
    <t>Modules</t>
  </si>
  <si>
    <t>Verbal</t>
  </si>
  <si>
    <t>Logical</t>
  </si>
  <si>
    <t>Object Recognition</t>
  </si>
  <si>
    <t>Emotional</t>
  </si>
  <si>
    <t>Social</t>
  </si>
  <si>
    <t>Score</t>
  </si>
  <si>
    <t>Performance of Child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</si>
</sst>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rgb="FF000000"/>
      <name val="Arial"/>
    </font>
    <font>
      <sz val="10"/>
      <name val="Arial"/>
    </font>
    <font>
      <b/>
      <sz val="10"/>
      <color rgb="FF000000"/>
      <name val="Arial"/>
      <family val="2"/>
    </font>
    <font>
      <b/>
      <sz val="36"/>
      <color rgb="FF000000"/>
      <name val="Arial"/>
      <family val="2"/>
    </font>
    <font>
      <b/>
      <sz val="10"/>
      <color rgb="FF000000"/>
      <name val="Arial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 applyFont="1" applyAlignment="1"/>
    <xf numFmtId="0" fontId="1" fillId="0" borderId="0" xfId="0" applyFont="1" applyAlignment="1"/>
    <xf numFmtId="0" fontId="0" fillId="0" borderId="0" xfId="0" quotePrefix="1" applyFont="1" applyAlignment="1"/>
    <xf numFmtId="0" fontId="0" fillId="2" borderId="0" xfId="0" applyFont="1" applyFill="1" applyAlignment="1"/>
    <xf numFmtId="0" fontId="0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Score</a:t>
            </a:r>
            <a:r>
              <a:rPr lang="en-IN" baseline="0"/>
              <a:t> in Activity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Verbal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append!$C$11</c:f>
              <c:numCache>
                <c:formatCode>General</c:formatCode>
                <c:ptCount val="1"/>
                <c:pt idx="0">
                  <c:v>5.2783905459705327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52-412F-99BE-A39CF4899832}"/>
            </c:ext>
          </c:extLst>
        </c:ser>
        <c:ser>
          <c:idx val="1"/>
          <c:order val="1"/>
          <c:tx>
            <c:v>Logic</c:v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append!$F$11</c:f>
              <c:numCache>
                <c:formatCode>General</c:formatCode>
                <c:ptCount val="1"/>
                <c:pt idx="0">
                  <c:v>5.0000000000000009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52-412F-99BE-A39CF4899832}"/>
            </c:ext>
          </c:extLst>
        </c:ser>
        <c:ser>
          <c:idx val="2"/>
          <c:order val="2"/>
          <c:tx>
            <c:v>Object</c:v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accent3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append!$J$11</c:f>
              <c:numCache>
                <c:formatCode>General</c:formatCode>
                <c:ptCount val="1"/>
                <c:pt idx="0">
                  <c:v>8.0815789473684205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52-412F-99BE-A39CF4899832}"/>
            </c:ext>
          </c:extLst>
        </c:ser>
        <c:ser>
          <c:idx val="3"/>
          <c:order val="3"/>
          <c:tx>
            <c:v>Emotion</c:v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accent4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append!$N$11</c:f>
              <c:numCache>
                <c:formatCode>General</c:formatCode>
                <c:ptCount val="1"/>
                <c:pt idx="0">
                  <c:v>5.6204545454545451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52-412F-99BE-A39CF4899832}"/>
            </c:ext>
          </c:extLst>
        </c:ser>
        <c:ser>
          <c:idx val="4"/>
          <c:order val="4"/>
          <c:tx>
            <c:v>Social</c:v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accent5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append!$R$11</c:f>
              <c:numCache>
                <c:formatCode>General</c:formatCode>
                <c:ptCount val="1"/>
                <c:pt idx="0">
                  <c:v>5.2783905459705327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52-412F-99BE-A39CF489983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shape val="box"/>
        <c:axId val="548188415"/>
        <c:axId val="544131903"/>
        <c:axId val="0"/>
      </c:bar3DChart>
      <c:catAx>
        <c:axId val="548188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131903"/>
        <c:crosses val="autoZero"/>
        <c:auto val="1"/>
        <c:lblAlgn val="ctr"/>
        <c:lblOffset val="100"/>
        <c:noMultiLvlLbl val="0"/>
      </c:catAx>
      <c:valAx>
        <c:axId val="544131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188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(append!$C$11,append!$F$11,append!$J$11,append!$N$11,append!$R$11)</c:f>
              <c:numCache>
                <c:formatCode>General</c:formatCode>
                <c:ptCount val="5"/>
                <c:pt idx="0">
                  <c:v>5.2783905459705327</c:v>
                </c:pt>
                <c:pt idx="1">
                  <c:v>5.0000000000000009</c:v>
                </c:pt>
                <c:pt idx="2">
                  <c:v>8.0815789473684205</c:v>
                </c:pt>
                <c:pt idx="3">
                  <c:v>5.6204545454545451</c:v>
                </c:pt>
                <c:pt idx="4">
                  <c:v>5.2783905459705327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84-4DD3-9893-2DC32EE6456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dk1">
                    <a:lumMod val="65000"/>
                    <a:lumOff val="3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50000"/>
                  <a:lumOff val="50000"/>
                </a:schemeClr>
              </a:solidFill>
              <a:ln w="9525">
                <a:solidFill>
                  <a:schemeClr val="dk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marker val="1"/>
        <c:smooth val="0"/>
        <c:axId val="623650703"/>
        <c:axId val="544115055"/>
      </c:lineChart>
      <c:catAx>
        <c:axId val="6236507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Activity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115055"/>
        <c:crosses val="autoZero"/>
        <c:auto val="1"/>
        <c:lblAlgn val="ctr"/>
        <c:lblOffset val="100"/>
        <c:noMultiLvlLbl val="0"/>
      </c:catAx>
      <c:valAx>
        <c:axId val="544115055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623650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(append!$C$1,append!$F$1,append!$J$1,append!$N$1,append!$R$1)</c:f>
              <c:strCache>
                <c:ptCount val="5"/>
                <c:pt idx="0">
                  <c:v>outv</c:v>
                </c:pt>
                <c:pt idx="1">
                  <c:v>outl</c:v>
                </c:pt>
                <c:pt idx="2">
                  <c:v>outo</c:v>
                </c:pt>
                <c:pt idx="3">
                  <c:v>oute</c:v>
                </c:pt>
                <c:pt idx="4">
                  <c:v>outs</c:v>
                </c:pt>
              </c:strCache>
            </c:strRef>
          </c:cat>
          <c:val>
            <c:numRef>
              <c:f>(append!$C$2,append!$F$2,append!$J$2,append!$N$2,append!$R$2)</c:f>
              <c:numCache>
                <c:formatCode>General</c:formatCode>
                <c:ptCount val="5"/>
                <c:pt idx="0">
                  <c:v>6.1446030934018809</c:v>
                </c:pt>
                <c:pt idx="1">
                  <c:v>6.1446030934018809</c:v>
                </c:pt>
                <c:pt idx="2">
                  <c:v>8.3666666666666671</c:v>
                </c:pt>
                <c:pt idx="3">
                  <c:v>4.9999999999999982</c:v>
                </c:pt>
                <c:pt idx="4">
                  <c:v>5.6204545454545451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FB-4CAB-8965-9BC1260FC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80331743"/>
        <c:axId val="986703567"/>
        <c:axId val="984517823"/>
      </c:bar3DChart>
      <c:catAx>
        <c:axId val="980331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703567"/>
        <c:crosses val="autoZero"/>
        <c:auto val="1"/>
        <c:lblAlgn val="ctr"/>
        <c:lblOffset val="100"/>
        <c:noMultiLvlLbl val="0"/>
      </c:catAx>
      <c:valAx>
        <c:axId val="986703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331743"/>
        <c:crosses val="autoZero"/>
        <c:crossBetween val="between"/>
      </c:valAx>
      <c:serAx>
        <c:axId val="9845178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703567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733425</xdr:colOff>
      <xdr:row>5</xdr:row>
      <xdr:rowOff>0</xdr:rowOff>
    </xdr:from>
    <xdr:to>
      <xdr:col>14</xdr:col>
      <xdr:colOff>866775</xdr:colOff>
      <xdr:row>6</xdr:row>
      <xdr:rowOff>171450</xdr:rowOff>
    </xdr:to>
    <xdr:sp macro="[0]!Test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E1E44E7-5A1E-4ADF-8210-E7F764D8E88F}"/>
            </a:ext>
          </a:extLst>
        </xdr:cNvPr>
        <xdr:cNvSpPr/>
      </xdr:nvSpPr>
      <xdr:spPr>
        <a:xfrm>
          <a:off x="5286375" y="1000125"/>
          <a:ext cx="1571625" cy="37147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Update</a:t>
          </a:r>
        </a:p>
        <a:p>
          <a:pPr algn="l"/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35</xdr:row>
      <xdr:rowOff>185737</xdr:rowOff>
    </xdr:from>
    <xdr:to>
      <xdr:col>8</xdr:col>
      <xdr:colOff>581025</xdr:colOff>
      <xdr:row>52</xdr:row>
      <xdr:rowOff>138112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B0A7E3A-5E28-4DEC-BB5C-7EAE6C6175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314325</xdr:colOff>
      <xdr:row>35</xdr:row>
      <xdr:rowOff>185737</xdr:rowOff>
    </xdr:from>
    <xdr:to>
      <xdr:col>18</xdr:col>
      <xdr:colOff>9525</xdr:colOff>
      <xdr:row>52</xdr:row>
      <xdr:rowOff>138112</xdr:rowOff>
    </xdr:to>
    <xdr:graphicFrame macro="">
      <xdr:nvGraphicFramePr>
        <xdr:cNvPr id="5" name="Chart 4" title="Scores">
          <a:extLst>
            <a:ext uri="{FF2B5EF4-FFF2-40B4-BE49-F238E27FC236}">
              <a16:creationId xmlns:a16="http://schemas.microsoft.com/office/drawing/2014/main" id="{17075ABE-FDFF-453A-AD1D-AA4A4CC4A3B6}"/>
            </a:ext>
            <a:ext uri="{147F2762-F138-4A5C-976F-8EAC2B608ADB}">
              <a16:predDERef xmlns:a16="http://schemas.microsoft.com/office/drawing/2014/main" pred="{DB0A7E3A-5E28-4DEC-BB5C-7EAE6C6175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238125</xdr:colOff>
      <xdr:row>17</xdr:row>
      <xdr:rowOff>95250</xdr:rowOff>
    </xdr:from>
    <xdr:to>
      <xdr:col>12</xdr:col>
      <xdr:colOff>542925</xdr:colOff>
      <xdr:row>31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0FFF21-4FEB-44EC-89E6-4EF91E09FE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4" displayName="Table4" ref="A1:S3" totalsRowShown="0">
  <autoFilter ref="A1:S3" xr:uid="{00000000-0009-0000-0100-000004000000}"/>
  <tableColumns count="19">
    <tableColumn id="1" xr3:uid="{00000000-0010-0000-0000-000001000000}" name="v1"/>
    <tableColumn id="2" xr3:uid="{00000000-0010-0000-0000-000002000000}" name="v2"/>
    <tableColumn id="3" xr3:uid="{00000000-0010-0000-0000-000003000000}" name="outv"/>
    <tableColumn id="4" xr3:uid="{00000000-0010-0000-0000-000004000000}" name="l1"/>
    <tableColumn id="5" xr3:uid="{00000000-0010-0000-0000-000005000000}" name="l2"/>
    <tableColumn id="6" xr3:uid="{00000000-0010-0000-0000-000006000000}" name="outl"/>
    <tableColumn id="7" xr3:uid="{00000000-0010-0000-0000-000007000000}" name="o1"/>
    <tableColumn id="8" xr3:uid="{00000000-0010-0000-0000-000008000000}" name="o2"/>
    <tableColumn id="9" xr3:uid="{00000000-0010-0000-0000-000009000000}" name="o3"/>
    <tableColumn id="10" xr3:uid="{00000000-0010-0000-0000-00000A000000}" name="outo"/>
    <tableColumn id="11" xr3:uid="{00000000-0010-0000-0000-00000B000000}" name="e1"/>
    <tableColumn id="12" xr3:uid="{00000000-0010-0000-0000-00000C000000}" name="e2"/>
    <tableColumn id="13" xr3:uid="{00000000-0010-0000-0000-00000D000000}" name="e3"/>
    <tableColumn id="14" xr3:uid="{00000000-0010-0000-0000-00000E000000}" name="oute"/>
    <tableColumn id="15" xr3:uid="{00000000-0010-0000-0000-00000F000000}" name="s1"/>
    <tableColumn id="16" xr3:uid="{00000000-0010-0000-0000-000010000000}" name="s2"/>
    <tableColumn id="17" xr3:uid="{00000000-0010-0000-0000-000011000000}" name="s3"/>
    <tableColumn id="18" xr3:uid="{00000000-0010-0000-0000-000012000000}" name="outs"/>
    <tableColumn id="19" xr3:uid="{00000000-0010-0000-0000-000013000000}" name="out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63231BD-39C9-4AFE-9084-E0CD95088097}">
  <we:reference id="wa104380142" version="1.0.0.0" store="en-US" storeType="OMEX"/>
  <we:alternateReferences>
    <we:reference id="WA104380142" version="1.0.0.0" store="WA10438014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4"/>
  <sheetViews>
    <sheetView workbookViewId="0">
      <pane ySplit="1" topLeftCell="A2" activePane="bottomLeft" state="frozen"/>
      <selection pane="bottomLeft" sqref="A1:XFD1"/>
    </sheetView>
  </sheetViews>
  <sheetFormatPr defaultColWidth="14.42578125" defaultRowHeight="15.75" customHeight="1" x14ac:dyDescent="0.2"/>
  <cols>
    <col min="1" max="1" width="12" bestFit="1" customWidth="1"/>
    <col min="2" max="2" width="5.28515625" bestFit="1" customWidth="1"/>
    <col min="3" max="4" width="12" bestFit="1" customWidth="1"/>
    <col min="5" max="5" width="4.85546875" bestFit="1" customWidth="1"/>
    <col min="6" max="6" width="12" bestFit="1" customWidth="1"/>
    <col min="7" max="9" width="5.42578125" bestFit="1" customWidth="1"/>
    <col min="10" max="10" width="12" bestFit="1" customWidth="1"/>
    <col min="11" max="13" width="5.42578125" bestFit="1" customWidth="1"/>
    <col min="14" max="14" width="7.28515625" bestFit="1" customWidth="1"/>
    <col min="15" max="15" width="12" bestFit="1" customWidth="1"/>
    <col min="16" max="16" width="5.140625" bestFit="1" customWidth="1"/>
    <col min="17" max="19" width="12" bestFit="1" customWidth="1"/>
    <col min="20" max="43" width="21.5703125" customWidth="1"/>
  </cols>
  <sheetData>
    <row r="1" spans="1:37" ht="15.7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AJ1" s="1" t="s">
        <v>19</v>
      </c>
      <c r="AK1" s="1" t="s">
        <v>19</v>
      </c>
    </row>
    <row r="2" spans="1:37" ht="15.75" customHeight="1" x14ac:dyDescent="0.2">
      <c r="A2">
        <v>8.3333333330000006</v>
      </c>
      <c r="B2">
        <v>5</v>
      </c>
      <c r="C2">
        <v>6.1446030934018809</v>
      </c>
      <c r="D2">
        <v>8.3333333330000006</v>
      </c>
      <c r="E2">
        <v>5</v>
      </c>
      <c r="F2">
        <v>6.1446030934018809</v>
      </c>
      <c r="G2">
        <v>10</v>
      </c>
      <c r="H2">
        <v>10</v>
      </c>
      <c r="I2">
        <v>10</v>
      </c>
      <c r="J2">
        <v>8.3666666666666671</v>
      </c>
      <c r="K2">
        <v>5</v>
      </c>
      <c r="L2">
        <v>2.5</v>
      </c>
      <c r="M2">
        <v>5</v>
      </c>
      <c r="N2">
        <v>4.9999999999999982</v>
      </c>
      <c r="O2">
        <v>6.6666666670000003</v>
      </c>
      <c r="P2">
        <v>7.5</v>
      </c>
      <c r="Q2">
        <v>3.3333333330000001</v>
      </c>
      <c r="R2">
        <v>5.6204545454545451</v>
      </c>
      <c r="S2">
        <v>8.1199564746171262</v>
      </c>
    </row>
    <row r="4" spans="1:37" ht="18" customHeight="1" x14ac:dyDescent="0.2"/>
  </sheetData>
  <pageMargins left="0.7" right="0.7" top="0.75" bottom="0.75" header="0.3" footer="0.3"/>
  <pageSetup paperSize="9" orientation="portrait" horizontalDpi="4294967292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K65"/>
  <sheetViews>
    <sheetView tabSelected="1" workbookViewId="0">
      <selection activeCell="Q24" sqref="Q24"/>
    </sheetView>
  </sheetViews>
  <sheetFormatPr defaultRowHeight="12.75" x14ac:dyDescent="0.2"/>
  <sheetData>
    <row r="1" spans="1:37" ht="15.7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tr">
        <f>IF(S1:S101&lt;4.5,"Yes",IF(S1:S113&gt;=6,"No","Maybe"))</f>
        <v>No</v>
      </c>
      <c r="AJ1" s="1" t="s">
        <v>19</v>
      </c>
      <c r="AK1" s="1" t="s">
        <v>19</v>
      </c>
    </row>
    <row r="2" spans="1:37" ht="15.75" customHeight="1" x14ac:dyDescent="0.2">
      <c r="A2">
        <v>8.3333333330000006</v>
      </c>
      <c r="B2">
        <v>5</v>
      </c>
      <c r="C2">
        <v>6.1446030934018809</v>
      </c>
      <c r="D2">
        <v>8.3333333330000006</v>
      </c>
      <c r="E2">
        <v>5</v>
      </c>
      <c r="F2">
        <v>6.1446030934018809</v>
      </c>
      <c r="G2">
        <v>10</v>
      </c>
      <c r="H2">
        <v>10</v>
      </c>
      <c r="I2">
        <v>10</v>
      </c>
      <c r="J2">
        <v>8.3666666666666671</v>
      </c>
      <c r="K2">
        <v>5</v>
      </c>
      <c r="L2">
        <v>2.5</v>
      </c>
      <c r="M2">
        <v>5</v>
      </c>
      <c r="N2">
        <v>4.9999999999999982</v>
      </c>
      <c r="O2">
        <v>6.6666666670000003</v>
      </c>
      <c r="P2">
        <v>7.5</v>
      </c>
      <c r="Q2">
        <v>3.3333333330000001</v>
      </c>
      <c r="R2">
        <v>5.6204545454545451</v>
      </c>
      <c r="S2">
        <v>8.1199564746171262</v>
      </c>
      <c r="T2" t="str">
        <f t="shared" ref="T2:T18" si="0">IF(S2:S102&lt;4.5,"Yes",IF(S2:S114&gt;=6,"No","Maybe"))</f>
        <v>No</v>
      </c>
    </row>
    <row r="3" spans="1:37" ht="15.75" customHeight="1" x14ac:dyDescent="0.2">
      <c r="A3">
        <v>8.3333333330000006</v>
      </c>
      <c r="B3">
        <v>5</v>
      </c>
      <c r="C3">
        <v>6.1446030934018809</v>
      </c>
      <c r="D3">
        <v>8.3333333330000006</v>
      </c>
      <c r="E3">
        <v>5</v>
      </c>
      <c r="F3">
        <v>6.1446030934018809</v>
      </c>
      <c r="G3">
        <v>10</v>
      </c>
      <c r="H3">
        <v>10</v>
      </c>
      <c r="I3">
        <v>10</v>
      </c>
      <c r="J3">
        <v>8.3666666666666671</v>
      </c>
      <c r="K3">
        <v>5</v>
      </c>
      <c r="L3">
        <v>2.5</v>
      </c>
      <c r="M3">
        <v>5</v>
      </c>
      <c r="N3">
        <v>4.9999999999999982</v>
      </c>
      <c r="O3">
        <v>6.6666666670000003</v>
      </c>
      <c r="P3">
        <v>7.5</v>
      </c>
      <c r="Q3">
        <v>3.3333333330000001</v>
      </c>
      <c r="R3">
        <v>5.6204545454545451</v>
      </c>
      <c r="S3">
        <v>8.1199564746171262</v>
      </c>
      <c r="T3" t="str">
        <f t="shared" si="0"/>
        <v>No</v>
      </c>
    </row>
    <row r="4" spans="1:37" ht="15.75" customHeight="1" x14ac:dyDescent="0.2">
      <c r="A4">
        <v>3.3333333330000001</v>
      </c>
      <c r="B4">
        <v>8.3333333330000006</v>
      </c>
      <c r="C4">
        <v>5.7517628454974101</v>
      </c>
      <c r="D4">
        <v>6.6666666670000003</v>
      </c>
      <c r="E4">
        <v>7.5</v>
      </c>
      <c r="F4">
        <v>5.6204545454545451</v>
      </c>
      <c r="G4">
        <v>5</v>
      </c>
      <c r="H4">
        <v>7.5</v>
      </c>
      <c r="I4">
        <v>2.5</v>
      </c>
      <c r="J4">
        <v>5.6204545454545451</v>
      </c>
      <c r="K4">
        <v>5</v>
      </c>
      <c r="L4">
        <v>10</v>
      </c>
      <c r="M4">
        <v>2.5</v>
      </c>
      <c r="N4">
        <v>5.6204545454545451</v>
      </c>
      <c r="O4">
        <v>1.6666666670000001</v>
      </c>
      <c r="P4">
        <v>3.75</v>
      </c>
      <c r="Q4">
        <v>3.3333333330000001</v>
      </c>
      <c r="R4">
        <v>4.7216094540294646</v>
      </c>
      <c r="S4">
        <v>7.6421079401772154</v>
      </c>
      <c r="T4" t="str">
        <f t="shared" si="0"/>
        <v>No</v>
      </c>
    </row>
    <row r="5" spans="1:37" ht="15.75" customHeight="1" x14ac:dyDescent="0.2">
      <c r="A5">
        <v>3.3333333330000001</v>
      </c>
      <c r="B5">
        <v>8.3333333330000006</v>
      </c>
      <c r="C5">
        <v>5.7517628454974101</v>
      </c>
      <c r="D5">
        <v>6.6666666670000003</v>
      </c>
      <c r="E5">
        <v>7.5</v>
      </c>
      <c r="F5">
        <v>5.6204545454545451</v>
      </c>
      <c r="G5">
        <v>5</v>
      </c>
      <c r="H5">
        <v>7.5</v>
      </c>
      <c r="I5">
        <v>2.5</v>
      </c>
      <c r="J5">
        <v>5.6204545454545451</v>
      </c>
      <c r="K5">
        <v>5</v>
      </c>
      <c r="L5">
        <v>10</v>
      </c>
      <c r="M5">
        <v>2.5</v>
      </c>
      <c r="N5">
        <v>5.6204545454545451</v>
      </c>
      <c r="O5">
        <v>1.6666666670000001</v>
      </c>
      <c r="P5">
        <v>3.75</v>
      </c>
      <c r="Q5">
        <v>3.3333333330000001</v>
      </c>
      <c r="R5">
        <v>4.7216094540294646</v>
      </c>
      <c r="S5">
        <v>7.6421079401772154</v>
      </c>
      <c r="T5" t="str">
        <f t="shared" si="0"/>
        <v>No</v>
      </c>
    </row>
    <row r="6" spans="1:37" ht="15.75" customHeight="1" x14ac:dyDescent="0.2">
      <c r="A6" s="3">
        <v>10</v>
      </c>
      <c r="B6" s="3">
        <v>5</v>
      </c>
      <c r="C6" s="3">
        <v>8.3666666666666671</v>
      </c>
      <c r="D6" s="3">
        <v>6.6666666670000003</v>
      </c>
      <c r="E6" s="3">
        <v>5</v>
      </c>
      <c r="F6" s="3">
        <v>5.2783905459705327</v>
      </c>
      <c r="G6" s="3">
        <v>10</v>
      </c>
      <c r="H6" s="3">
        <v>7.5</v>
      </c>
      <c r="I6" s="3">
        <v>10</v>
      </c>
      <c r="J6" s="3">
        <v>8.0815789473684205</v>
      </c>
      <c r="K6" s="3">
        <v>5</v>
      </c>
      <c r="L6" s="3">
        <v>0</v>
      </c>
      <c r="M6" s="3">
        <v>5</v>
      </c>
      <c r="N6" s="3">
        <v>5.0000000000000009</v>
      </c>
      <c r="O6" s="3">
        <v>6.6666666670000003</v>
      </c>
      <c r="P6" s="3">
        <v>6.25</v>
      </c>
      <c r="Q6" s="3">
        <v>5</v>
      </c>
      <c r="R6" s="3">
        <v>5.2783905459705327</v>
      </c>
      <c r="S6" s="3">
        <v>8.1827695302993391</v>
      </c>
      <c r="T6" t="str">
        <f t="shared" si="0"/>
        <v>No</v>
      </c>
    </row>
    <row r="7" spans="1:37" ht="15.75" customHeight="1" x14ac:dyDescent="0.2">
      <c r="A7">
        <v>10</v>
      </c>
      <c r="B7">
        <v>5</v>
      </c>
      <c r="C7">
        <v>8.3666666666666671</v>
      </c>
      <c r="D7">
        <v>6.6666666670000003</v>
      </c>
      <c r="E7">
        <v>5</v>
      </c>
      <c r="F7">
        <v>5.2783905459705327</v>
      </c>
      <c r="G7">
        <v>10</v>
      </c>
      <c r="H7">
        <v>7.5</v>
      </c>
      <c r="I7">
        <v>10</v>
      </c>
      <c r="J7">
        <v>8.0815789473684205</v>
      </c>
      <c r="K7">
        <v>5</v>
      </c>
      <c r="L7">
        <v>0</v>
      </c>
      <c r="M7">
        <v>5</v>
      </c>
      <c r="N7">
        <v>5.0000000000000009</v>
      </c>
      <c r="O7">
        <v>6.6666666670000003</v>
      </c>
      <c r="P7">
        <v>6.25</v>
      </c>
      <c r="Q7">
        <v>5</v>
      </c>
      <c r="R7">
        <v>5.2783905459705327</v>
      </c>
      <c r="S7">
        <v>8.1827695302993391</v>
      </c>
      <c r="T7" t="str">
        <f t="shared" si="0"/>
        <v>No</v>
      </c>
    </row>
    <row r="8" spans="1:37" ht="15.75" customHeight="1" x14ac:dyDescent="0.2">
      <c r="A8">
        <v>10</v>
      </c>
      <c r="B8">
        <v>5</v>
      </c>
      <c r="C8">
        <v>8.3666666666666671</v>
      </c>
      <c r="D8">
        <v>6.6666666670000003</v>
      </c>
      <c r="E8">
        <v>5</v>
      </c>
      <c r="F8">
        <v>5.2783905459705327</v>
      </c>
      <c r="G8">
        <v>10</v>
      </c>
      <c r="H8">
        <v>7.5</v>
      </c>
      <c r="I8">
        <v>10</v>
      </c>
      <c r="J8">
        <v>8.0815789473684205</v>
      </c>
      <c r="K8">
        <v>5</v>
      </c>
      <c r="L8">
        <v>0</v>
      </c>
      <c r="M8">
        <v>5</v>
      </c>
      <c r="N8">
        <v>5.0000000000000009</v>
      </c>
      <c r="O8">
        <v>6.6666666670000003</v>
      </c>
      <c r="P8">
        <v>6.25</v>
      </c>
      <c r="Q8">
        <v>5</v>
      </c>
      <c r="R8">
        <v>5.2783905459705327</v>
      </c>
      <c r="S8">
        <v>8.1827695302993391</v>
      </c>
      <c r="T8" t="str">
        <f t="shared" si="0"/>
        <v>No</v>
      </c>
    </row>
    <row r="9" spans="1:37" ht="15.75" customHeight="1" x14ac:dyDescent="0.2">
      <c r="A9">
        <v>10</v>
      </c>
      <c r="B9">
        <v>5</v>
      </c>
      <c r="C9">
        <v>8.3666666666666671</v>
      </c>
      <c r="D9">
        <v>6.6666666670000003</v>
      </c>
      <c r="E9">
        <v>5</v>
      </c>
      <c r="F9">
        <v>5.2783905459705327</v>
      </c>
      <c r="G9">
        <v>10</v>
      </c>
      <c r="H9">
        <v>7.5</v>
      </c>
      <c r="I9">
        <v>10</v>
      </c>
      <c r="J9">
        <v>8.0815789473684205</v>
      </c>
      <c r="K9">
        <v>5</v>
      </c>
      <c r="L9">
        <v>0</v>
      </c>
      <c r="M9">
        <v>5</v>
      </c>
      <c r="N9">
        <v>5.0000000000000009</v>
      </c>
      <c r="O9">
        <v>6.6666666670000003</v>
      </c>
      <c r="P9">
        <v>6.25</v>
      </c>
      <c r="Q9">
        <v>5</v>
      </c>
      <c r="R9">
        <v>5.2783905459705327</v>
      </c>
      <c r="S9">
        <v>8.1827695302993391</v>
      </c>
      <c r="T9" t="str">
        <f t="shared" si="0"/>
        <v>No</v>
      </c>
    </row>
    <row r="10" spans="1:37" ht="15.75" customHeight="1" x14ac:dyDescent="0.2">
      <c r="A10">
        <v>5</v>
      </c>
      <c r="B10">
        <v>6.6666666670000003</v>
      </c>
      <c r="C10">
        <v>5.2783905459705327</v>
      </c>
      <c r="D10">
        <v>5</v>
      </c>
      <c r="E10">
        <v>5</v>
      </c>
      <c r="F10">
        <v>5.0000000000000009</v>
      </c>
      <c r="G10">
        <v>7.5</v>
      </c>
      <c r="H10">
        <v>7.5</v>
      </c>
      <c r="I10">
        <v>10</v>
      </c>
      <c r="J10">
        <v>8.0815789473684205</v>
      </c>
      <c r="K10">
        <v>7.5</v>
      </c>
      <c r="L10">
        <v>2.5</v>
      </c>
      <c r="M10">
        <v>10</v>
      </c>
      <c r="N10">
        <v>5.6204545454545451</v>
      </c>
      <c r="O10">
        <v>5</v>
      </c>
      <c r="P10">
        <v>6.25</v>
      </c>
      <c r="Q10">
        <v>6.6666666670000003</v>
      </c>
      <c r="R10">
        <v>5.2783905459705327</v>
      </c>
      <c r="S10">
        <v>8.1827695302993391</v>
      </c>
      <c r="T10" t="str">
        <f t="shared" si="0"/>
        <v>No</v>
      </c>
    </row>
    <row r="11" spans="1:37" ht="15.75" customHeight="1" x14ac:dyDescent="0.2">
      <c r="A11">
        <v>5</v>
      </c>
      <c r="B11">
        <v>6.6666666670000003</v>
      </c>
      <c r="C11">
        <v>5.2783905459705327</v>
      </c>
      <c r="D11">
        <v>5</v>
      </c>
      <c r="E11">
        <v>5</v>
      </c>
      <c r="F11">
        <v>5.0000000000000009</v>
      </c>
      <c r="G11">
        <v>7.5</v>
      </c>
      <c r="H11">
        <v>7.5</v>
      </c>
      <c r="I11">
        <v>10</v>
      </c>
      <c r="J11">
        <v>8.0815789473684205</v>
      </c>
      <c r="K11">
        <v>7.5</v>
      </c>
      <c r="L11">
        <v>2.5</v>
      </c>
      <c r="M11">
        <v>10</v>
      </c>
      <c r="N11">
        <v>5.6204545454545451</v>
      </c>
      <c r="O11">
        <v>5</v>
      </c>
      <c r="P11">
        <v>6.25</v>
      </c>
      <c r="Q11">
        <v>6.6666666670000003</v>
      </c>
      <c r="R11">
        <v>5.2783905459705327</v>
      </c>
      <c r="S11">
        <v>8.1827695302993391</v>
      </c>
      <c r="T11" t="str">
        <f t="shared" si="0"/>
        <v>No</v>
      </c>
    </row>
    <row r="12" spans="1:37" ht="15.75" customHeight="1" x14ac:dyDescent="0.2">
      <c r="A12">
        <v>4</v>
      </c>
      <c r="B12">
        <v>5</v>
      </c>
      <c r="C12">
        <v>4.894704684317718</v>
      </c>
      <c r="D12">
        <v>6</v>
      </c>
      <c r="E12">
        <v>4</v>
      </c>
      <c r="F12">
        <v>4.9999999999999964</v>
      </c>
      <c r="G12">
        <v>5</v>
      </c>
      <c r="H12">
        <v>6</v>
      </c>
      <c r="I12">
        <v>4</v>
      </c>
      <c r="J12">
        <v>5.1052953156822767</v>
      </c>
      <c r="K12">
        <v>5</v>
      </c>
      <c r="L12">
        <v>6</v>
      </c>
      <c r="M12">
        <v>4</v>
      </c>
      <c r="N12">
        <v>5.1052953156822767</v>
      </c>
      <c r="O12">
        <v>5</v>
      </c>
      <c r="P12">
        <v>6</v>
      </c>
      <c r="Q12">
        <v>4</v>
      </c>
      <c r="R12">
        <v>5.1052953156822767</v>
      </c>
      <c r="S12">
        <v>8.3625090487447</v>
      </c>
      <c r="T12" t="str">
        <f t="shared" si="0"/>
        <v>No</v>
      </c>
    </row>
    <row r="13" spans="1:37" ht="15.75" customHeight="1" x14ac:dyDescent="0.2">
      <c r="A13">
        <v>4</v>
      </c>
      <c r="B13">
        <v>5</v>
      </c>
      <c r="C13">
        <v>4.894704684317718</v>
      </c>
      <c r="D13">
        <v>6</v>
      </c>
      <c r="E13">
        <v>4</v>
      </c>
      <c r="F13">
        <v>4.9999999999999964</v>
      </c>
      <c r="G13">
        <v>5</v>
      </c>
      <c r="H13">
        <v>6</v>
      </c>
      <c r="I13">
        <v>4</v>
      </c>
      <c r="J13">
        <v>5.1052953156822767</v>
      </c>
      <c r="K13">
        <v>5</v>
      </c>
      <c r="L13">
        <v>6</v>
      </c>
      <c r="M13">
        <v>4</v>
      </c>
      <c r="N13">
        <v>5.1052953156822767</v>
      </c>
      <c r="O13">
        <v>5</v>
      </c>
      <c r="P13">
        <v>6</v>
      </c>
      <c r="Q13">
        <v>4</v>
      </c>
      <c r="R13">
        <v>5.1052953156822767</v>
      </c>
      <c r="S13">
        <v>8.3625090487447</v>
      </c>
      <c r="T13" t="str">
        <f t="shared" si="0"/>
        <v>No</v>
      </c>
    </row>
    <row r="14" spans="1:37" ht="15.75" customHeight="1" x14ac:dyDescent="0.2">
      <c r="A14">
        <v>4</v>
      </c>
      <c r="B14">
        <v>5</v>
      </c>
      <c r="C14">
        <v>4.894704684317718</v>
      </c>
      <c r="D14">
        <v>6</v>
      </c>
      <c r="E14">
        <v>4</v>
      </c>
      <c r="F14">
        <v>4.9999999999999964</v>
      </c>
      <c r="G14">
        <v>5</v>
      </c>
      <c r="H14">
        <v>6</v>
      </c>
      <c r="I14">
        <v>4</v>
      </c>
      <c r="J14">
        <v>5.1052953156822767</v>
      </c>
      <c r="K14">
        <v>5</v>
      </c>
      <c r="L14">
        <v>6</v>
      </c>
      <c r="M14">
        <v>4</v>
      </c>
      <c r="N14">
        <v>5.1052953156822767</v>
      </c>
      <c r="O14">
        <v>5</v>
      </c>
      <c r="P14">
        <v>6</v>
      </c>
      <c r="Q14">
        <v>4</v>
      </c>
      <c r="R14">
        <v>5.1052953156822767</v>
      </c>
      <c r="S14">
        <v>8.3625090487447</v>
      </c>
      <c r="T14" t="str">
        <f t="shared" si="0"/>
        <v>No</v>
      </c>
    </row>
    <row r="15" spans="1:37" ht="15.75" customHeight="1" x14ac:dyDescent="0.2">
      <c r="A15">
        <v>4</v>
      </c>
      <c r="B15">
        <v>5</v>
      </c>
      <c r="C15">
        <v>4.894704684317718</v>
      </c>
      <c r="D15">
        <v>6</v>
      </c>
      <c r="E15">
        <v>4</v>
      </c>
      <c r="F15">
        <v>4.9999999999999964</v>
      </c>
      <c r="G15">
        <v>5</v>
      </c>
      <c r="H15">
        <v>6</v>
      </c>
      <c r="I15">
        <v>4</v>
      </c>
      <c r="J15">
        <v>5.1052953156822767</v>
      </c>
      <c r="K15">
        <v>5</v>
      </c>
      <c r="L15">
        <v>6</v>
      </c>
      <c r="M15">
        <v>4</v>
      </c>
      <c r="N15">
        <v>5.1052953156822767</v>
      </c>
      <c r="O15">
        <v>5</v>
      </c>
      <c r="P15">
        <v>6</v>
      </c>
      <c r="Q15">
        <v>4</v>
      </c>
      <c r="R15">
        <v>5.1052953156822767</v>
      </c>
      <c r="S15">
        <v>8.3625090487447</v>
      </c>
      <c r="T15" t="str">
        <f t="shared" si="0"/>
        <v>No</v>
      </c>
    </row>
    <row r="16" spans="1:37" ht="15.75" customHeight="1" x14ac:dyDescent="0.2">
      <c r="A16">
        <v>4</v>
      </c>
      <c r="B16">
        <v>5</v>
      </c>
      <c r="C16">
        <v>4.894704684317718</v>
      </c>
      <c r="D16">
        <v>6</v>
      </c>
      <c r="E16">
        <v>4</v>
      </c>
      <c r="F16">
        <v>4.9999999999999964</v>
      </c>
      <c r="G16">
        <v>5</v>
      </c>
      <c r="H16">
        <v>6</v>
      </c>
      <c r="I16">
        <v>4</v>
      </c>
      <c r="J16">
        <v>5.1052953156822767</v>
      </c>
      <c r="K16">
        <v>5</v>
      </c>
      <c r="L16">
        <v>6</v>
      </c>
      <c r="M16">
        <v>4</v>
      </c>
      <c r="N16">
        <v>5.1052953156822767</v>
      </c>
      <c r="O16">
        <v>5</v>
      </c>
      <c r="P16">
        <v>6</v>
      </c>
      <c r="Q16">
        <v>4</v>
      </c>
      <c r="R16">
        <v>5.1052953156822767</v>
      </c>
      <c r="S16">
        <v>8.3625090487447</v>
      </c>
      <c r="T16" t="str">
        <f t="shared" si="0"/>
        <v>No</v>
      </c>
    </row>
    <row r="17" spans="20:20" ht="15.75" customHeight="1" x14ac:dyDescent="0.2">
      <c r="T17" t="str">
        <f t="shared" si="0"/>
        <v>Yes</v>
      </c>
    </row>
    <row r="18" spans="20:20" ht="15.75" customHeight="1" x14ac:dyDescent="0.2">
      <c r="T18" t="str">
        <f t="shared" si="0"/>
        <v>Yes</v>
      </c>
    </row>
    <row r="19" spans="20:20" ht="15.75" customHeight="1" x14ac:dyDescent="0.2">
      <c r="T19" t="str">
        <f t="shared" ref="T9:T35" si="1">IF(S19:S118&lt;4.5,"Yes",IF(S19:S130&gt;=6,"No","Maybe"))</f>
        <v>Yes</v>
      </c>
    </row>
    <row r="20" spans="20:20" ht="15.75" customHeight="1" x14ac:dyDescent="0.2">
      <c r="T20" t="str">
        <f t="shared" si="1"/>
        <v>Yes</v>
      </c>
    </row>
    <row r="21" spans="20:20" ht="15.75" customHeight="1" x14ac:dyDescent="0.2">
      <c r="T21" t="str">
        <f t="shared" si="1"/>
        <v>Yes</v>
      </c>
    </row>
    <row r="22" spans="20:20" ht="15.75" customHeight="1" x14ac:dyDescent="0.2">
      <c r="T22" t="str">
        <f t="shared" si="1"/>
        <v>Yes</v>
      </c>
    </row>
    <row r="23" spans="20:20" ht="15.75" customHeight="1" x14ac:dyDescent="0.2">
      <c r="T23" t="str">
        <f t="shared" si="1"/>
        <v>Yes</v>
      </c>
    </row>
    <row r="24" spans="20:20" ht="15.75" customHeight="1" x14ac:dyDescent="0.2">
      <c r="T24" t="str">
        <f t="shared" si="1"/>
        <v>Yes</v>
      </c>
    </row>
    <row r="25" spans="20:20" ht="15.75" customHeight="1" x14ac:dyDescent="0.2">
      <c r="T25" t="str">
        <f t="shared" si="1"/>
        <v>Yes</v>
      </c>
    </row>
    <row r="26" spans="20:20" ht="15.75" customHeight="1" x14ac:dyDescent="0.2">
      <c r="T26" t="str">
        <f t="shared" si="1"/>
        <v>Yes</v>
      </c>
    </row>
    <row r="27" spans="20:20" ht="15.75" customHeight="1" x14ac:dyDescent="0.2">
      <c r="T27" t="str">
        <f t="shared" si="1"/>
        <v>Yes</v>
      </c>
    </row>
    <row r="28" spans="20:20" ht="15.75" customHeight="1" x14ac:dyDescent="0.2">
      <c r="T28" t="str">
        <f t="shared" si="1"/>
        <v>Yes</v>
      </c>
    </row>
    <row r="29" spans="20:20" ht="15.75" customHeight="1" x14ac:dyDescent="0.2">
      <c r="T29" t="str">
        <f t="shared" si="1"/>
        <v>Yes</v>
      </c>
    </row>
    <row r="30" spans="20:20" ht="15.75" customHeight="1" x14ac:dyDescent="0.2">
      <c r="T30" t="str">
        <f t="shared" si="1"/>
        <v>Yes</v>
      </c>
    </row>
    <row r="31" spans="20:20" ht="15.75" customHeight="1" x14ac:dyDescent="0.2">
      <c r="T31" t="str">
        <f t="shared" si="1"/>
        <v>Yes</v>
      </c>
    </row>
    <row r="32" spans="20:20" ht="15.75" customHeight="1" x14ac:dyDescent="0.2">
      <c r="T32" t="str">
        <f t="shared" si="1"/>
        <v>Yes</v>
      </c>
    </row>
    <row r="33" spans="19:20" ht="15.75" customHeight="1" x14ac:dyDescent="0.2">
      <c r="T33" t="str">
        <f t="shared" si="1"/>
        <v>Yes</v>
      </c>
    </row>
    <row r="34" spans="19:20" ht="15.75" customHeight="1" x14ac:dyDescent="0.2">
      <c r="T34" t="str">
        <f t="shared" si="1"/>
        <v>Yes</v>
      </c>
    </row>
    <row r="35" spans="19:20" ht="15.75" customHeight="1" x14ac:dyDescent="0.2">
      <c r="S35">
        <v>3</v>
      </c>
      <c r="T35" t="str">
        <f t="shared" si="1"/>
        <v>Yes</v>
      </c>
    </row>
    <row r="36" spans="19:20" ht="15.75" customHeight="1" x14ac:dyDescent="0.2">
      <c r="T36" t="str">
        <f t="shared" ref="T36:T37" si="2">IF(S36:S134&lt;4.5,"Yes",IF(S36:S134&gt;=6,"No","Maybe"))</f>
        <v>Yes</v>
      </c>
    </row>
    <row r="37" spans="19:20" x14ac:dyDescent="0.2">
      <c r="T37" t="str">
        <f t="shared" si="2"/>
        <v>Yes</v>
      </c>
    </row>
    <row r="55" spans="3:17" x14ac:dyDescent="0.2">
      <c r="J55" s="7" t="s">
        <v>20</v>
      </c>
      <c r="K55" s="7"/>
      <c r="L55" s="7"/>
    </row>
    <row r="56" spans="3:17" x14ac:dyDescent="0.2">
      <c r="J56" s="8" t="str">
        <f>T11</f>
        <v>No</v>
      </c>
      <c r="K56" s="8"/>
      <c r="L56" s="8"/>
    </row>
    <row r="57" spans="3:17" x14ac:dyDescent="0.2">
      <c r="J57" s="8"/>
      <c r="K57" s="8"/>
      <c r="L57" s="8"/>
    </row>
    <row r="58" spans="3:17" x14ac:dyDescent="0.2">
      <c r="C58" s="2"/>
      <c r="J58" s="8"/>
      <c r="K58" s="8"/>
      <c r="L58" s="8"/>
    </row>
    <row r="60" spans="3:17" x14ac:dyDescent="0.2">
      <c r="C60" s="5" t="s">
        <v>21</v>
      </c>
      <c r="D60" s="5"/>
      <c r="E60" s="5"/>
      <c r="F60" s="5" t="s">
        <v>22</v>
      </c>
      <c r="G60" s="5"/>
      <c r="H60" s="5" t="s">
        <v>23</v>
      </c>
      <c r="I60" s="5"/>
      <c r="J60" s="5" t="s">
        <v>24</v>
      </c>
      <c r="K60" s="5"/>
      <c r="L60" s="5" t="s">
        <v>25</v>
      </c>
      <c r="M60" s="5"/>
      <c r="N60" s="5" t="s">
        <v>26</v>
      </c>
      <c r="O60" s="5"/>
      <c r="P60" s="6"/>
      <c r="Q60" s="6"/>
    </row>
    <row r="61" spans="3:17" x14ac:dyDescent="0.2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6"/>
      <c r="Q61" s="6"/>
    </row>
    <row r="62" spans="3:17" x14ac:dyDescent="0.2">
      <c r="C62" s="5" t="s">
        <v>27</v>
      </c>
      <c r="D62" s="5"/>
      <c r="E62" s="5"/>
      <c r="F62" s="4">
        <f>C10</f>
        <v>5.2783905459705327</v>
      </c>
      <c r="G62" s="4"/>
      <c r="H62" s="4">
        <f>F10</f>
        <v>5.0000000000000009</v>
      </c>
      <c r="I62" s="4"/>
      <c r="J62" s="4">
        <f>J10</f>
        <v>8.0815789473684205</v>
      </c>
      <c r="K62" s="4"/>
      <c r="L62" s="4">
        <f>N10</f>
        <v>5.6204545454545451</v>
      </c>
      <c r="M62" s="4"/>
      <c r="N62" s="4">
        <f>R10</f>
        <v>5.2783905459705327</v>
      </c>
      <c r="O62" s="4"/>
    </row>
    <row r="63" spans="3:17" x14ac:dyDescent="0.2">
      <c r="C63" s="5"/>
      <c r="D63" s="5"/>
      <c r="E63" s="5"/>
      <c r="F63" s="4"/>
      <c r="G63" s="4"/>
      <c r="H63" s="4"/>
      <c r="I63" s="4"/>
      <c r="J63" s="4"/>
      <c r="K63" s="4"/>
      <c r="L63" s="4"/>
      <c r="M63" s="4"/>
      <c r="N63" s="4"/>
      <c r="O63" s="4"/>
    </row>
    <row r="64" spans="3:17" x14ac:dyDescent="0.2">
      <c r="C64" s="5" t="s">
        <v>28</v>
      </c>
      <c r="D64" s="5"/>
      <c r="E64" s="5"/>
      <c r="F64" s="4" t="str">
        <f>IF(F62&lt;4.5,"Autistic in this module",IF(F62&gt;=7.5,"Excellent","Moderate"))</f>
        <v>Moderate</v>
      </c>
      <c r="G64" s="4"/>
      <c r="H64" s="4" t="str">
        <f>IF(H62&lt;4.5,"Autistic in this module",IF(H62&gt;=7.5,"Excellent","Moderate"))</f>
        <v>Moderate</v>
      </c>
      <c r="I64" s="4"/>
      <c r="J64" s="4" t="str">
        <f>IF(J62&lt;4.5,"Autistic in this module",IF(J62&gt;=7.5,"Excellent","Moderate"))</f>
        <v>Excellent</v>
      </c>
      <c r="K64" s="4"/>
      <c r="L64" s="4" t="str">
        <f>IF(L62&lt;4.5,"Autistic in this module",IF(L62&gt;=7.5,"Excellent","Moderate"))</f>
        <v>Moderate</v>
      </c>
      <c r="M64" s="4"/>
      <c r="N64" s="4" t="str">
        <f>IF(N62&lt;4.5,"Autistic in this module",IF(N62&gt;=7.5,"Excellent","Moderate"))</f>
        <v>Moderate</v>
      </c>
      <c r="O64" s="4"/>
    </row>
    <row r="65" spans="3:15" x14ac:dyDescent="0.2">
      <c r="C65" s="5"/>
      <c r="D65" s="5"/>
      <c r="E65" s="5"/>
      <c r="F65" s="4"/>
      <c r="G65" s="4"/>
      <c r="H65" s="4"/>
      <c r="I65" s="4"/>
      <c r="J65" s="4"/>
      <c r="K65" s="4"/>
      <c r="L65" s="4"/>
      <c r="M65" s="4"/>
      <c r="N65" s="4"/>
      <c r="O65" s="4"/>
    </row>
  </sheetData>
  <mergeCells count="21">
    <mergeCell ref="J55:L55"/>
    <mergeCell ref="J56:L58"/>
    <mergeCell ref="F60:G61"/>
    <mergeCell ref="H60:I61"/>
    <mergeCell ref="J60:K61"/>
    <mergeCell ref="L60:M61"/>
    <mergeCell ref="N60:O61"/>
    <mergeCell ref="P60:Q61"/>
    <mergeCell ref="C60:E61"/>
    <mergeCell ref="C62:E63"/>
    <mergeCell ref="N62:O63"/>
    <mergeCell ref="N64:O65"/>
    <mergeCell ref="C64:E65"/>
    <mergeCell ref="F62:G63"/>
    <mergeCell ref="H62:I63"/>
    <mergeCell ref="J62:K63"/>
    <mergeCell ref="L62:M63"/>
    <mergeCell ref="F64:G65"/>
    <mergeCell ref="H64:I65"/>
    <mergeCell ref="J64:K65"/>
    <mergeCell ref="L64:M65"/>
  </mergeCells>
  <pageMargins left="0.7" right="0.7" top="0.75" bottom="0.75" header="0.3" footer="0.3"/>
  <pageSetup paperSize="9"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append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Akash Desarda</dc:creator>
  <cp:keywords/>
  <dc:description/>
  <cp:lastModifiedBy>expert</cp:lastModifiedBy>
  <cp:revision/>
  <dcterms:created xsi:type="dcterms:W3CDTF">2018-02-27T05:42:16Z</dcterms:created>
  <dcterms:modified xsi:type="dcterms:W3CDTF">2018-04-07T03:48:33Z</dcterms:modified>
  <cp:category/>
  <cp:contentStatus/>
</cp:coreProperties>
</file>